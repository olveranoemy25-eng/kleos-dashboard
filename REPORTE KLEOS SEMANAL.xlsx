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d22324991230ea2/DASHBOARD ORDENES/"/>
    </mc:Choice>
  </mc:AlternateContent>
  <xr:revisionPtr revIDLastSave="345" documentId="8_{CCEA0C95-887E-4D78-8B00-58D605568D3D}" xr6:coauthVersionLast="47" xr6:coauthVersionMax="47" xr10:uidLastSave="{DEDB299D-8C6D-42EB-A94F-962AD475D43E}"/>
  <bookViews>
    <workbookView xWindow="-28920" yWindow="-120" windowWidth="29040" windowHeight="15720" activeTab="1" xr2:uid="{00000000-000D-0000-FFFF-FFFF00000000}"/>
  </bookViews>
  <sheets>
    <sheet name="ACT" sheetId="1" r:id="rId1"/>
    <sheet name="IN WHS" sheetId="2" r:id="rId2"/>
    <sheet name="LT OUT WHS" sheetId="3" r:id="rId3"/>
    <sheet name="FILL RATE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H30" i="2"/>
  <c r="I30" i="2" s="1"/>
  <c r="H17" i="2"/>
  <c r="I17" i="2" s="1"/>
  <c r="J35" i="3"/>
  <c r="H2" i="2" l="1"/>
  <c r="H16" i="2"/>
  <c r="I16" i="2" s="1"/>
  <c r="H15" i="2"/>
  <c r="I15" i="2" s="1"/>
  <c r="H14" i="2"/>
  <c r="I14" i="2" s="1"/>
  <c r="L64" i="1"/>
  <c r="L65" i="1"/>
  <c r="L66" i="1"/>
  <c r="L67" i="1"/>
  <c r="L68" i="1"/>
  <c r="J68" i="1"/>
  <c r="H68" i="1"/>
  <c r="I68" i="1" s="1"/>
  <c r="J65" i="1"/>
  <c r="J66" i="1"/>
  <c r="J67" i="1"/>
  <c r="H65" i="1"/>
  <c r="I65" i="1" s="1"/>
  <c r="H66" i="1"/>
  <c r="I66" i="1" s="1"/>
  <c r="H67" i="1"/>
  <c r="I67" i="1" s="1"/>
  <c r="I2" i="2" l="1"/>
  <c r="L19" i="1"/>
  <c r="L60" i="1"/>
  <c r="K2" i="1"/>
  <c r="K3" i="1"/>
  <c r="K4" i="1"/>
  <c r="K5" i="1"/>
  <c r="K6" i="1"/>
  <c r="K7" i="1"/>
  <c r="K8" i="1"/>
  <c r="K10" i="1"/>
  <c r="K11" i="1"/>
  <c r="H4" i="2"/>
  <c r="H18" i="2"/>
  <c r="H5" i="2"/>
  <c r="H6" i="2"/>
  <c r="H19" i="2"/>
  <c r="H20" i="2"/>
  <c r="H7" i="2"/>
  <c r="H8" i="2"/>
  <c r="H9" i="2"/>
  <c r="H10" i="2"/>
  <c r="H11" i="2"/>
  <c r="H12" i="2"/>
  <c r="H21" i="2"/>
  <c r="H22" i="2"/>
  <c r="H23" i="2"/>
  <c r="H24" i="2"/>
  <c r="H25" i="2"/>
  <c r="H26" i="2"/>
  <c r="H27" i="2"/>
  <c r="H28" i="2"/>
  <c r="H29" i="2"/>
  <c r="H13" i="2"/>
  <c r="I13" i="2" s="1"/>
  <c r="H3" i="2"/>
  <c r="J19" i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J31" i="3"/>
  <c r="J32" i="3"/>
  <c r="J33" i="3"/>
  <c r="J34" i="3"/>
  <c r="J30" i="3"/>
  <c r="J29" i="3"/>
  <c r="I2" i="1" l="1"/>
  <c r="I22" i="2"/>
  <c r="I21" i="2"/>
  <c r="J28" i="3" l="1"/>
  <c r="J27" i="3"/>
  <c r="J26" i="3"/>
  <c r="J25" i="3"/>
  <c r="J24" i="3"/>
  <c r="J23" i="3"/>
  <c r="J22" i="3"/>
  <c r="J21" i="3"/>
  <c r="J18" i="3"/>
  <c r="J19" i="3"/>
  <c r="J20" i="3"/>
  <c r="I29" i="2"/>
  <c r="I28" i="2"/>
  <c r="I27" i="2"/>
  <c r="I26" i="2"/>
  <c r="I25" i="2" l="1"/>
  <c r="I12" i="2"/>
  <c r="J17" i="3" l="1"/>
  <c r="J16" i="3"/>
  <c r="J15" i="3"/>
  <c r="I24" i="2"/>
  <c r="I11" i="2"/>
  <c r="I10" i="2"/>
  <c r="I9" i="2"/>
  <c r="I8" i="2"/>
  <c r="I7" i="2" l="1"/>
  <c r="I20" i="2"/>
  <c r="I19" i="2"/>
  <c r="I6" i="2"/>
  <c r="J14" i="3"/>
  <c r="J13" i="3"/>
  <c r="J12" i="3"/>
  <c r="J11" i="3"/>
  <c r="J10" i="3"/>
  <c r="J9" i="3"/>
  <c r="J3" i="3"/>
  <c r="J4" i="3"/>
  <c r="J5" i="3"/>
  <c r="J6" i="3"/>
  <c r="J7" i="3"/>
  <c r="J8" i="3"/>
  <c r="I5" i="2"/>
  <c r="I18" i="2" l="1"/>
  <c r="I4" i="2" l="1"/>
  <c r="I3" i="2" l="1"/>
  <c r="J2" i="3" l="1"/>
  <c r="I23" i="2"/>
  <c r="J60" i="1" l="1"/>
  <c r="L61" i="1" l="1"/>
  <c r="L54" i="1"/>
  <c r="L55" i="1"/>
  <c r="L57" i="1"/>
  <c r="L56" i="1"/>
  <c r="L59" i="1"/>
  <c r="L62" i="1"/>
  <c r="L58" i="1"/>
  <c r="L52" i="1"/>
  <c r="L51" i="1"/>
  <c r="L48" i="1"/>
  <c r="L53" i="1"/>
  <c r="L50" i="1"/>
  <c r="L49" i="1"/>
  <c r="L46" i="1"/>
  <c r="L11" i="1"/>
  <c r="L15" i="1"/>
  <c r="L35" i="1"/>
  <c r="L34" i="1"/>
  <c r="L42" i="1"/>
  <c r="L41" i="1"/>
  <c r="L40" i="1"/>
  <c r="L44" i="1"/>
  <c r="L39" i="1"/>
  <c r="L38" i="1"/>
  <c r="L37" i="1"/>
  <c r="L33" i="1"/>
  <c r="L10" i="1"/>
  <c r="L28" i="1"/>
  <c r="L43" i="1"/>
  <c r="L36" i="1"/>
  <c r="L14" i="1"/>
  <c r="L32" i="1"/>
  <c r="L27" i="1"/>
  <c r="L23" i="1"/>
  <c r="L21" i="1"/>
  <c r="L22" i="1"/>
  <c r="L20" i="1"/>
  <c r="L8" i="1"/>
  <c r="J64" i="1"/>
  <c r="J61" i="1"/>
  <c r="J54" i="1"/>
  <c r="J55" i="1"/>
  <c r="J57" i="1"/>
  <c r="J56" i="1"/>
  <c r="J63" i="1"/>
  <c r="J59" i="1"/>
  <c r="J62" i="1"/>
  <c r="J58" i="1"/>
  <c r="J52" i="1"/>
  <c r="J51" i="1"/>
  <c r="J48" i="1"/>
  <c r="J53" i="1"/>
  <c r="J50" i="1"/>
  <c r="J49" i="1"/>
  <c r="J46" i="1"/>
  <c r="J11" i="1"/>
  <c r="J15" i="1"/>
  <c r="J35" i="1"/>
  <c r="J34" i="1"/>
  <c r="J42" i="1"/>
  <c r="J41" i="1"/>
  <c r="J40" i="1"/>
  <c r="J44" i="1"/>
  <c r="J39" i="1"/>
  <c r="J38" i="1"/>
  <c r="J37" i="1"/>
  <c r="J33" i="1"/>
  <c r="J10" i="1"/>
  <c r="J28" i="1"/>
  <c r="J43" i="1"/>
  <c r="J36" i="1"/>
  <c r="J14" i="1"/>
  <c r="J32" i="1"/>
  <c r="J27" i="1"/>
  <c r="J23" i="1"/>
  <c r="J21" i="1"/>
  <c r="J22" i="1"/>
  <c r="J20" i="1"/>
  <c r="J29" i="1" l="1"/>
  <c r="J31" i="1"/>
  <c r="J47" i="1"/>
  <c r="J45" i="1"/>
  <c r="L47" i="1"/>
  <c r="L45" i="1"/>
  <c r="L63" i="1"/>
  <c r="L29" i="1"/>
  <c r="L31" i="1"/>
  <c r="K9" i="1" l="1"/>
  <c r="K12" i="1"/>
  <c r="L3" i="1" l="1"/>
  <c r="J2" i="1"/>
  <c r="L25" i="1" l="1"/>
  <c r="L17" i="1"/>
  <c r="L30" i="1"/>
  <c r="L24" i="1"/>
  <c r="L12" i="1"/>
  <c r="L7" i="1"/>
  <c r="L26" i="1"/>
  <c r="L2" i="1"/>
  <c r="L18" i="1"/>
  <c r="J30" i="1" l="1"/>
  <c r="L16" i="1" l="1"/>
  <c r="L13" i="1"/>
  <c r="L5" i="1"/>
  <c r="L4" i="1"/>
  <c r="L6" i="1"/>
  <c r="J7" i="1" l="1"/>
  <c r="J8" i="1"/>
  <c r="J6" i="1"/>
  <c r="J24" i="1"/>
  <c r="J9" i="1"/>
  <c r="J4" i="1"/>
  <c r="J5" i="1"/>
  <c r="J25" i="1"/>
  <c r="L9" i="1"/>
  <c r="J26" i="1"/>
  <c r="J16" i="1"/>
  <c r="J12" i="1"/>
  <c r="J18" i="1"/>
  <c r="J17" i="1"/>
  <c r="J13" i="1"/>
  <c r="J3" i="1" l="1"/>
</calcChain>
</file>

<file path=xl/sharedStrings.xml><?xml version="1.0" encoding="utf-8"?>
<sst xmlns="http://schemas.openxmlformats.org/spreadsheetml/2006/main" count="968" uniqueCount="286">
  <si>
    <t>Order number</t>
  </si>
  <si>
    <t>Customer</t>
  </si>
  <si>
    <t>Stage</t>
  </si>
  <si>
    <t>Distribution center</t>
  </si>
  <si>
    <t>Value fill rate</t>
  </si>
  <si>
    <t>Activation date</t>
  </si>
  <si>
    <t>ETA</t>
  </si>
  <si>
    <t>DLD Square LLC</t>
  </si>
  <si>
    <t>459 State Route 31, Washington, NJ 07882</t>
  </si>
  <si>
    <t>SOCAN131-260075K</t>
  </si>
  <si>
    <t>American Grocers Supply Corporation</t>
  </si>
  <si>
    <t>3. Supplier PO Released</t>
  </si>
  <si>
    <t>601 W Walnut St</t>
  </si>
  <si>
    <t>Excel Distribution LLC</t>
  </si>
  <si>
    <t>9100 Galveston Rd, Houston, TX 77034</t>
  </si>
  <si>
    <t>AMG Global Distribution, Inc.</t>
  </si>
  <si>
    <t>Top Smokes Inc</t>
  </si>
  <si>
    <t>World Brand Trading DWC LLC</t>
  </si>
  <si>
    <t>Mexcom Group INC</t>
  </si>
  <si>
    <t>611 S Palmetto Ave, Ontario, CA 91762</t>
  </si>
  <si>
    <t>American Trade Masters</t>
  </si>
  <si>
    <t>Volume, Inc.</t>
  </si>
  <si>
    <t>T&amp;E Imports</t>
  </si>
  <si>
    <t>GM-NEL119325</t>
  </si>
  <si>
    <t>SO-2026-0046</t>
  </si>
  <si>
    <t>Best Buy Grocers Inc</t>
  </si>
  <si>
    <t>1861 Mountain View Ave. Redlands, CA 92354</t>
  </si>
  <si>
    <t>Fredco NY INC</t>
  </si>
  <si>
    <t>SO-2026-0041</t>
  </si>
  <si>
    <t>La Hispamex Food Products, INC.</t>
  </si>
  <si>
    <t>8. Customer PO Released</t>
  </si>
  <si>
    <t>SO-2026-0028</t>
  </si>
  <si>
    <t>JDC Trading LLC</t>
  </si>
  <si>
    <t>SO-2026-0027</t>
  </si>
  <si>
    <t xml:space="preserve">Business Unit </t>
  </si>
  <si>
    <t>Ferrara</t>
  </si>
  <si>
    <t>Ferrero</t>
  </si>
  <si>
    <t>Nestlé</t>
  </si>
  <si>
    <t xml:space="preserve">Smuckers </t>
  </si>
  <si>
    <t>Blue Diamond</t>
  </si>
  <si>
    <t>Asfar Distribution</t>
  </si>
  <si>
    <t>Column3</t>
  </si>
  <si>
    <t xml:space="preserve">DAYS IN WHS </t>
  </si>
  <si>
    <t xml:space="preserve">Inbound Date </t>
  </si>
  <si>
    <t>Direct</t>
  </si>
  <si>
    <t>SO-2026-0018</t>
  </si>
  <si>
    <t>SO-2026-0017</t>
  </si>
  <si>
    <t>SO-2026-0016</t>
  </si>
  <si>
    <t>SO-2026-0014</t>
  </si>
  <si>
    <t>SO-2026-0012</t>
  </si>
  <si>
    <t>SO-2026-0011</t>
  </si>
  <si>
    <t>SO-2026-0003</t>
  </si>
  <si>
    <t>Food and Biscuits</t>
  </si>
  <si>
    <t xml:space="preserve">Essentia </t>
  </si>
  <si>
    <t>Smuckers</t>
  </si>
  <si>
    <t>7. Customer Final Docs. Sent</t>
  </si>
  <si>
    <t>BEAU Logistics (NJ)</t>
  </si>
  <si>
    <t>Florence Warehouse - New Jersey</t>
  </si>
  <si>
    <t>Order Type</t>
  </si>
  <si>
    <t>Order Number</t>
  </si>
  <si>
    <t>Business Unit</t>
  </si>
  <si>
    <t>Delivery Place</t>
  </si>
  <si>
    <t>Value Fill Rate</t>
  </si>
  <si>
    <t>Inbound Date</t>
  </si>
  <si>
    <t>Out of Warehouse</t>
  </si>
  <si>
    <t>DAYS IN WHS</t>
  </si>
  <si>
    <t>Invoice Date</t>
  </si>
  <si>
    <t>Nutella Peanut 042026</t>
  </si>
  <si>
    <t>Nutella Peanut 042426</t>
  </si>
  <si>
    <t>WorldCraft-Ontario,CA</t>
  </si>
  <si>
    <t>PO-NEL105-260061K</t>
  </si>
  <si>
    <t>PO-NEL119-260059K</t>
  </si>
  <si>
    <t>POCAN131-260075K</t>
  </si>
  <si>
    <t>POCAN131-260074K</t>
  </si>
  <si>
    <t>POCAN131-260071K</t>
  </si>
  <si>
    <t>PO-NEL130-260069K</t>
  </si>
  <si>
    <t>PO-NEL130-260067K</t>
  </si>
  <si>
    <t>PO-NEL130-260065K</t>
  </si>
  <si>
    <t>PO-NEL130-260063K</t>
  </si>
  <si>
    <t>PO-NEL129-260062K</t>
  </si>
  <si>
    <t>PO-NEL119-260060K</t>
  </si>
  <si>
    <t>POCAN131-260056K</t>
  </si>
  <si>
    <t>4NEL002696PO</t>
  </si>
  <si>
    <t>PO-2026-0054</t>
  </si>
  <si>
    <t>PO-2026-0052</t>
  </si>
  <si>
    <t>PO-2026-0048</t>
  </si>
  <si>
    <t>PO-2026-0046</t>
  </si>
  <si>
    <t>PO-NEL134-260078K</t>
  </si>
  <si>
    <t>PO-NEL134-260095K</t>
  </si>
  <si>
    <t>PO-NEL130-260086K</t>
  </si>
  <si>
    <t>PO-NEL130-260085K</t>
  </si>
  <si>
    <t>POCA116-260084K</t>
  </si>
  <si>
    <t>PO-NEL130-260082K</t>
  </si>
  <si>
    <t>PO-NEL130-260079K</t>
  </si>
  <si>
    <t>PO-HOU129-260073K</t>
  </si>
  <si>
    <t>PO-NEL105-260072K</t>
  </si>
  <si>
    <t>PO-NEL130-260068K</t>
  </si>
  <si>
    <t>KF-NEL126108</t>
  </si>
  <si>
    <t>KF-NEL126107</t>
  </si>
  <si>
    <t>KF-NEL126110</t>
  </si>
  <si>
    <t>KF-NEL126111</t>
  </si>
  <si>
    <t>Ferrero USA</t>
  </si>
  <si>
    <t>Stage2</t>
  </si>
  <si>
    <t xml:space="preserve">Order Number </t>
  </si>
  <si>
    <t xml:space="preserve">Customer </t>
  </si>
  <si>
    <t>POCAN131-260081K</t>
  </si>
  <si>
    <t>LD Distribution/ Nu Logistics</t>
  </si>
  <si>
    <t>Comments KLEOS</t>
  </si>
  <si>
    <t>POCA129-260087K</t>
  </si>
  <si>
    <t>POCA116-260114K</t>
  </si>
  <si>
    <t>POCA131-260109K</t>
  </si>
  <si>
    <t>POCA131-260107K-BO</t>
  </si>
  <si>
    <t>PO-NEL130-260100K</t>
  </si>
  <si>
    <t>PO-NEL130-260099K</t>
  </si>
  <si>
    <t>PO-HOU107-260097K</t>
  </si>
  <si>
    <t>PO-NEL130-260094K</t>
  </si>
  <si>
    <t>PO-HOU107-260092K</t>
  </si>
  <si>
    <t>Marka Global Ltd Co</t>
  </si>
  <si>
    <t>Nutella (042926)</t>
  </si>
  <si>
    <t>12CAN017238 BO</t>
  </si>
  <si>
    <t>Impact</t>
  </si>
  <si>
    <t>PO-NELRDL-260082K</t>
  </si>
  <si>
    <t xml:space="preserve">General Mills </t>
  </si>
  <si>
    <t>POHOU-260084-SK</t>
  </si>
  <si>
    <t>POCA129-260136K</t>
  </si>
  <si>
    <t>POCAN131-260135K</t>
  </si>
  <si>
    <t>PO-NE129-260134K</t>
  </si>
  <si>
    <t>POCA129-260133K</t>
  </si>
  <si>
    <t>PO-NEL119-260125K</t>
  </si>
  <si>
    <t>PO-NEL119-260124K</t>
  </si>
  <si>
    <t>PO-NE129-260123K</t>
  </si>
  <si>
    <t>PO-HOU110-260122K</t>
  </si>
  <si>
    <t>PO-NEL130-260121K</t>
  </si>
  <si>
    <t>PO-NEL130-260120K</t>
  </si>
  <si>
    <t>POAGS1131-260119K</t>
  </si>
  <si>
    <t>POCA129-260118K</t>
  </si>
  <si>
    <t>PO-NEL130-260117K</t>
  </si>
  <si>
    <t>POCA129-260115K</t>
  </si>
  <si>
    <t>PO-NEL130-260113K</t>
  </si>
  <si>
    <t>PO-NEL126-260112K</t>
  </si>
  <si>
    <t>PO-GMNJ126-260111K</t>
  </si>
  <si>
    <t>POCA129-260106K</t>
  </si>
  <si>
    <t>PO-NEL129-260104K</t>
  </si>
  <si>
    <t>PO-HOU107-260090K</t>
  </si>
  <si>
    <t>PONEL129-260088K</t>
  </si>
  <si>
    <t>ICEE</t>
  </si>
  <si>
    <t>STOCK- BO</t>
  </si>
  <si>
    <t>STOCK-FERRERO</t>
  </si>
  <si>
    <t>10. Customer PO Released</t>
  </si>
  <si>
    <t>SO-2026-0027 / 2</t>
  </si>
  <si>
    <t>SO-2026-0027 / 3</t>
  </si>
  <si>
    <t>PO-HOU129-260138K</t>
  </si>
  <si>
    <t>Jelly Belly</t>
  </si>
  <si>
    <t>PO-HOU112-260077K-2</t>
  </si>
  <si>
    <t>Ferrara Halloween</t>
  </si>
  <si>
    <t>4NEL001537</t>
  </si>
  <si>
    <t>4NEL001543</t>
  </si>
  <si>
    <t>4NEL001546</t>
  </si>
  <si>
    <t>4NEL001553</t>
  </si>
  <si>
    <t>4NEL001535</t>
  </si>
  <si>
    <t>4NEL002658</t>
  </si>
  <si>
    <t>1HOU002672</t>
  </si>
  <si>
    <t>1NE002688</t>
  </si>
  <si>
    <t>4NEL002665</t>
  </si>
  <si>
    <t>4NEL001539</t>
  </si>
  <si>
    <t>1HOU002670</t>
  </si>
  <si>
    <t>4NEL002676</t>
  </si>
  <si>
    <t>4NEL002685</t>
  </si>
  <si>
    <t>4NEL002690</t>
  </si>
  <si>
    <t>4NEL002698</t>
  </si>
  <si>
    <t xml:space="preserve">Ferrara </t>
  </si>
  <si>
    <t>BEAU Logistics - New Jersey</t>
  </si>
  <si>
    <t>12CAN017236</t>
  </si>
  <si>
    <t>12CAN017238</t>
  </si>
  <si>
    <t>PO-NEL130-260137K</t>
  </si>
  <si>
    <t>PO-NEL130-260140K</t>
  </si>
  <si>
    <t>PO-NEL130-260141K</t>
  </si>
  <si>
    <t>PO-NEL130-260142K</t>
  </si>
  <si>
    <t>PO-NEL130-260144K</t>
  </si>
  <si>
    <t>PO-NJ0134-260149K</t>
  </si>
  <si>
    <t>POCAN131-260148K</t>
  </si>
  <si>
    <t>POCAN131-260147K</t>
  </si>
  <si>
    <t>POCAN131-260146K</t>
  </si>
  <si>
    <t>Nutella peanut 051226</t>
  </si>
  <si>
    <t>Nutella Peanut 051226-3</t>
  </si>
  <si>
    <t>Nutella peanut 051326-4</t>
  </si>
  <si>
    <t>Nutella Peanut 051326-3</t>
  </si>
  <si>
    <t>PO-HOU134-260150K</t>
  </si>
  <si>
    <t>Nutella peanut 051326-2</t>
  </si>
  <si>
    <t xml:space="preserve">PO-HOU112-260077K </t>
  </si>
  <si>
    <t>PO-NEL105-260066K</t>
  </si>
  <si>
    <t>PO-NEL130-260127K</t>
  </si>
  <si>
    <t>PO-NEL130-260128K</t>
  </si>
  <si>
    <t>PO-NEL130-260129K</t>
  </si>
  <si>
    <t>PO-NEL120-260143K</t>
  </si>
  <si>
    <t>PO-NE129-260151K</t>
  </si>
  <si>
    <t>Florence Warehouse</t>
  </si>
  <si>
    <t>Commnets  OUT  WHS</t>
  </si>
  <si>
    <t xml:space="preserve">Comments Appointments </t>
  </si>
  <si>
    <t>ACT DAYS</t>
  </si>
  <si>
    <t>SO-2026-0053</t>
  </si>
  <si>
    <t>SO-2026-0052</t>
  </si>
  <si>
    <t>SOCA116-260084K</t>
  </si>
  <si>
    <t>SO-NEL134-260078K</t>
  </si>
  <si>
    <t>SO-NEL134-260095K</t>
  </si>
  <si>
    <t>SOCAN131-260081K</t>
  </si>
  <si>
    <t>SOCA129-260087K</t>
  </si>
  <si>
    <t>SOCA131-260107K-BO</t>
  </si>
  <si>
    <t>SO-NEL130-260099K</t>
  </si>
  <si>
    <t>SO-NEL130-260098K</t>
  </si>
  <si>
    <t>SO-NEL130-260093K</t>
  </si>
  <si>
    <t>SO-HOU107-260090K</t>
  </si>
  <si>
    <t xml:space="preserve">SO-HOU112-260077K </t>
  </si>
  <si>
    <t>SOCA116-260114K</t>
  </si>
  <si>
    <t>SOCA131-260109K</t>
  </si>
  <si>
    <t>SO-HOU107-260097K</t>
  </si>
  <si>
    <t>SO-NELRDL-260082K</t>
  </si>
  <si>
    <t>SO-NEL130-260121K</t>
  </si>
  <si>
    <t>SOCA129-260118K</t>
  </si>
  <si>
    <t>SOCA129-260115K</t>
  </si>
  <si>
    <t>SOCA129-260106K</t>
  </si>
  <si>
    <t>SONEL129-260088K</t>
  </si>
  <si>
    <t>SO-HOU107-260092K</t>
  </si>
  <si>
    <t>SOHOU-260084-SK</t>
  </si>
  <si>
    <t>SO-NEL129-260104K</t>
  </si>
  <si>
    <t>SO-NEL130-260117K</t>
  </si>
  <si>
    <t>SO-NEL130-260113K</t>
  </si>
  <si>
    <t>SO-NEL126-260112K</t>
  </si>
  <si>
    <t>SO-GMNJ126-260111K</t>
  </si>
  <si>
    <t>SOCA129-260136K</t>
  </si>
  <si>
    <t>SO-NE129-260134K</t>
  </si>
  <si>
    <t>SOCA129-260133K</t>
  </si>
  <si>
    <t>SO-NEL119-260124K</t>
  </si>
  <si>
    <t>SO-NE129-260123K</t>
  </si>
  <si>
    <t>SO-NEL130-260120K</t>
  </si>
  <si>
    <t>SOAGS1131-260119K</t>
  </si>
  <si>
    <t>SO-NEL119-260125K</t>
  </si>
  <si>
    <t>SO-HOU129-260138K</t>
  </si>
  <si>
    <t>SO-HOU107-260102K</t>
  </si>
  <si>
    <t>SOCAN131-260135K</t>
  </si>
  <si>
    <t>SO-NEL105-260066K</t>
  </si>
  <si>
    <t>SO-NEL130-260140K</t>
  </si>
  <si>
    <t>SO-NEL130-260141K</t>
  </si>
  <si>
    <t>SO-NEL130-260128K</t>
  </si>
  <si>
    <t>SO-NEL130-260129K</t>
  </si>
  <si>
    <t>SO-NEL130-260137K</t>
  </si>
  <si>
    <t>SO-NJ0134-260149K</t>
  </si>
  <si>
    <t>SOCAN131-260148K</t>
  </si>
  <si>
    <t>SOCAN131-260146K</t>
  </si>
  <si>
    <t>SOCAN131-260147K</t>
  </si>
  <si>
    <t>SO-NEL130-260127K</t>
  </si>
  <si>
    <t>SO-NEL130-260142K</t>
  </si>
  <si>
    <t>SO-NEL130-260144K</t>
  </si>
  <si>
    <t>SO-HOU134-260150K</t>
  </si>
  <si>
    <t>SO-NEL120-260143K</t>
  </si>
  <si>
    <t>SO-NE129-260151K</t>
  </si>
  <si>
    <t>SO-HOU112-260077K-2</t>
  </si>
  <si>
    <t>PO Order number</t>
  </si>
  <si>
    <t>SO-B1CAN131-260156K</t>
  </si>
  <si>
    <t>PO-B1CAN131-260156K</t>
  </si>
  <si>
    <t>SOCAN131-260155K</t>
  </si>
  <si>
    <t>SO-NEL130-260152K</t>
  </si>
  <si>
    <t>POCAN131-260155K</t>
  </si>
  <si>
    <t>PO-NEL130-260152K</t>
  </si>
  <si>
    <t>SO-NEL132-260057K</t>
  </si>
  <si>
    <t>PO-NEL132-260057K</t>
  </si>
  <si>
    <t>LD Distribution Services, LLC</t>
  </si>
  <si>
    <t>SO-2026-0045</t>
  </si>
  <si>
    <t>SO-NEL119-260064K</t>
  </si>
  <si>
    <t>SO-NEL130-260067K</t>
  </si>
  <si>
    <t>SO-NEL105-260061K</t>
  </si>
  <si>
    <t>SO-NEL105-260072K</t>
  </si>
  <si>
    <t>SO-NEL130-260085K</t>
  </si>
  <si>
    <t>SO-NEL130-260086K</t>
  </si>
  <si>
    <t>SO-NEL130-260079K</t>
  </si>
  <si>
    <t>SO-2026-0048</t>
  </si>
  <si>
    <t>SO-NEL130-260100K</t>
  </si>
  <si>
    <t>SO-NEL130-260094K</t>
  </si>
  <si>
    <t>SO-2026-0020</t>
  </si>
  <si>
    <t>SO-NEL119-260059K</t>
  </si>
  <si>
    <t>SO-NEL130-260082K</t>
  </si>
  <si>
    <t>SO-NEL130-260065K</t>
  </si>
  <si>
    <t>SO-NEL130-260068K</t>
  </si>
  <si>
    <t>SO-NEL130-260069K</t>
  </si>
  <si>
    <t>SO-HOU129-260073K</t>
  </si>
  <si>
    <t>SO-NEL130-260063K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</si>
</sst>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499984740745262"/>
      <name val="Calibri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9" fillId="2" borderId="0" xfId="0" applyFont="1" applyFill="1"/>
    <xf numFmtId="14" fontId="9" fillId="2" borderId="0" xfId="0" applyNumberFormat="1" applyFont="1" applyFill="1"/>
    <xf numFmtId="2" fontId="0" fillId="2" borderId="0" xfId="0" applyNumberFormat="1" applyFill="1"/>
    <xf numFmtId="2" fontId="10" fillId="5" borderId="0" xfId="0" applyNumberFormat="1" applyFont="1" applyFill="1"/>
    <xf numFmtId="0" fontId="10" fillId="3" borderId="0" xfId="0" applyFont="1" applyFill="1"/>
    <xf numFmtId="14" fontId="9" fillId="6" borderId="0" xfId="0" applyNumberFormat="1" applyFont="1" applyFill="1"/>
    <xf numFmtId="0" fontId="13" fillId="3" borderId="0" xfId="0" applyFont="1" applyFill="1"/>
    <xf numFmtId="0" fontId="13" fillId="5" borderId="0" xfId="0" applyFont="1" applyFill="1"/>
    <xf numFmtId="0" fontId="12" fillId="2" borderId="0" xfId="0" applyFont="1" applyFill="1"/>
    <xf numFmtId="0" fontId="8" fillId="2" borderId="0" xfId="0" applyFont="1" applyFill="1"/>
    <xf numFmtId="14" fontId="8" fillId="2" borderId="0" xfId="0" applyNumberFormat="1" applyFont="1" applyFill="1"/>
    <xf numFmtId="14" fontId="12" fillId="2" borderId="0" xfId="0" applyNumberFormat="1" applyFont="1" applyFill="1" applyAlignment="1">
      <alignment horizontal="right"/>
    </xf>
    <xf numFmtId="14" fontId="13" fillId="3" borderId="0" xfId="0" applyNumberFormat="1" applyFont="1" applyFill="1" applyAlignment="1">
      <alignment horizontal="right"/>
    </xf>
    <xf numFmtId="14" fontId="0" fillId="2" borderId="0" xfId="0" applyNumberFormat="1" applyFill="1" applyAlignment="1">
      <alignment horizontal="right"/>
    </xf>
    <xf numFmtId="2" fontId="10" fillId="3" borderId="0" xfId="0" applyNumberFormat="1" applyFont="1" applyFill="1"/>
    <xf numFmtId="14" fontId="10" fillId="3" borderId="0" xfId="0" applyNumberFormat="1" applyFont="1" applyFill="1"/>
    <xf numFmtId="2" fontId="12" fillId="2" borderId="0" xfId="0" applyNumberFormat="1" applyFont="1" applyFill="1" applyAlignment="1">
      <alignment horizontal="right"/>
    </xf>
    <xf numFmtId="14" fontId="14" fillId="2" borderId="0" xfId="0" applyNumberFormat="1" applyFont="1" applyFill="1" applyAlignment="1">
      <alignment horizontal="left"/>
    </xf>
    <xf numFmtId="2" fontId="11" fillId="4" borderId="0" xfId="0" applyNumberFormat="1" applyFont="1" applyFill="1"/>
    <xf numFmtId="0" fontId="7" fillId="2" borderId="0" xfId="0" applyFont="1" applyFill="1"/>
    <xf numFmtId="14" fontId="7" fillId="2" borderId="0" xfId="0" applyNumberFormat="1" applyFont="1" applyFill="1"/>
    <xf numFmtId="0" fontId="6" fillId="2" borderId="0" xfId="0" applyFont="1" applyFill="1"/>
    <xf numFmtId="14" fontId="6" fillId="2" borderId="0" xfId="0" applyNumberFormat="1" applyFont="1" applyFill="1"/>
    <xf numFmtId="2" fontId="6" fillId="2" borderId="0" xfId="0" applyNumberFormat="1" applyFont="1" applyFill="1"/>
    <xf numFmtId="0" fontId="6" fillId="0" borderId="0" xfId="0" applyFont="1"/>
    <xf numFmtId="2" fontId="16" fillId="7" borderId="0" xfId="0" applyNumberFormat="1" applyFont="1" applyFill="1"/>
    <xf numFmtId="2" fontId="9" fillId="4" borderId="0" xfId="0" applyNumberFormat="1" applyFont="1" applyFill="1"/>
    <xf numFmtId="0" fontId="12" fillId="2" borderId="0" xfId="0" applyFont="1" applyFill="1" applyAlignment="1">
      <alignment vertical="center" wrapText="1"/>
    </xf>
    <xf numFmtId="2" fontId="6" fillId="4" borderId="0" xfId="0" applyNumberFormat="1" applyFont="1" applyFill="1"/>
    <xf numFmtId="2" fontId="13" fillId="3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4" fontId="5" fillId="2" borderId="0" xfId="0" applyNumberFormat="1" applyFont="1" applyFill="1"/>
    <xf numFmtId="0" fontId="17" fillId="3" borderId="0" xfId="0" applyFont="1" applyFill="1"/>
    <xf numFmtId="2" fontId="17" fillId="5" borderId="0" xfId="0" applyNumberFormat="1" applyFont="1" applyFill="1"/>
    <xf numFmtId="0" fontId="14" fillId="2" borderId="0" xfId="0" applyFont="1" applyFill="1"/>
    <xf numFmtId="2" fontId="14" fillId="2" borderId="0" xfId="0" applyNumberFormat="1" applyFont="1" applyFill="1"/>
    <xf numFmtId="2" fontId="14" fillId="4" borderId="0" xfId="0" applyNumberFormat="1" applyFont="1" applyFill="1"/>
    <xf numFmtId="0" fontId="18" fillId="2" borderId="0" xfId="0" applyFont="1" applyFill="1"/>
    <xf numFmtId="0" fontId="4" fillId="2" borderId="0" xfId="0" applyFont="1" applyFill="1"/>
    <xf numFmtId="14" fontId="4" fillId="2" borderId="0" xfId="0" applyNumberFormat="1" applyFont="1" applyFill="1"/>
    <xf numFmtId="2" fontId="4" fillId="2" borderId="0" xfId="0" applyNumberFormat="1" applyFont="1" applyFill="1"/>
    <xf numFmtId="0" fontId="3" fillId="2" borderId="0" xfId="0" applyFont="1" applyFill="1"/>
    <xf numFmtId="14" fontId="3" fillId="2" borderId="0" xfId="0" applyNumberFormat="1" applyFont="1" applyFill="1"/>
    <xf numFmtId="0" fontId="3" fillId="4" borderId="0" xfId="0" applyFont="1" applyFill="1"/>
    <xf numFmtId="2" fontId="3" fillId="2" borderId="0" xfId="0" applyNumberFormat="1" applyFont="1" applyFill="1"/>
    <xf numFmtId="0" fontId="9" fillId="4" borderId="0" xfId="0" applyFont="1" applyFill="1"/>
    <xf numFmtId="0" fontId="12" fillId="4" borderId="0" xfId="0" applyFont="1" applyFill="1"/>
    <xf numFmtId="0" fontId="6" fillId="4" borderId="0" xfId="0" applyFont="1" applyFill="1"/>
    <xf numFmtId="14" fontId="9" fillId="4" borderId="0" xfId="0" applyNumberFormat="1" applyFont="1" applyFill="1"/>
    <xf numFmtId="0" fontId="17" fillId="3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16" fontId="3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6" fontId="6" fillId="2" borderId="0" xfId="0" applyNumberFormat="1" applyFont="1" applyFill="1" applyAlignment="1">
      <alignment horizontal="left"/>
    </xf>
    <xf numFmtId="16" fontId="4" fillId="2" borderId="0" xfId="0" applyNumberFormat="1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1" fillId="4" borderId="0" xfId="0" applyFont="1" applyFill="1"/>
    <xf numFmtId="2" fontId="12" fillId="8" borderId="0" xfId="0" applyNumberFormat="1" applyFont="1" applyFill="1"/>
    <xf numFmtId="14" fontId="1" fillId="2" borderId="0" xfId="0" applyNumberFormat="1" applyFont="1" applyFill="1"/>
    <xf numFmtId="2" fontId="1" fillId="2" borderId="0" xfId="0" applyNumberFormat="1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60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theme="9" tint="-0.499984740745262"/>
      </font>
      <fill>
        <patternFill>
          <bgColor rgb="FFFFC000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sz val="11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2" formatCode="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TAS%20ORDERS%20KLEOS.xlsx" TargetMode="External"/><Relationship Id="rId2" Type="http://schemas.openxmlformats.org/officeDocument/2006/relationships/externalLinkPath" Target="https://d.docs.live.net/9d22324991230ea2/ETAS%20ORDERS%20KLEOS.xlsx" TargetMode="External"/><Relationship Id="rId1" Type="http://schemas.openxmlformats.org/officeDocument/2006/relationships/externalLinkPath" Target="/9d22324991230ea2/ETAS%20ORDERS%20KLE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PORTE%20KLEOS%2030.xlsx" TargetMode="External"/><Relationship Id="rId2" Type="http://schemas.openxmlformats.org/officeDocument/2006/relationships/externalLinkPath" Target="https://d.docs.live.net/9d22324991230ea2/REPORTE%20KLEOS%2030.xlsx" TargetMode="External"/><Relationship Id="rId1" Type="http://schemas.openxmlformats.org/officeDocument/2006/relationships/externalLinkPath" Target="/9d22324991230ea2/REPORTE%20KLEOS%20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 xml:space="preserve">Order Number KLEOS </v>
          </cell>
          <cell r="C1" t="str">
            <v xml:space="preserve">Order Number RTM </v>
          </cell>
          <cell r="D1" t="str">
            <v>ETAS</v>
          </cell>
          <cell r="E1" t="str">
            <v xml:space="preserve">COMMENTS </v>
          </cell>
          <cell r="F1" t="str">
            <v xml:space="preserve">ACTUALIZADO </v>
          </cell>
          <cell r="G1" t="str">
            <v>RICH /agenda</v>
          </cell>
          <cell r="H1" t="str">
            <v xml:space="preserve">Noemy </v>
          </cell>
          <cell r="I1" t="str">
            <v xml:space="preserve">Confirmation date? </v>
          </cell>
        </row>
        <row r="2">
          <cell r="B2" t="str">
            <v>PO-2026-0045</v>
          </cell>
          <cell r="C2" t="str">
            <v>AHOU258776</v>
          </cell>
          <cell r="D2">
            <v>46132</v>
          </cell>
          <cell r="E2" t="str">
            <v>FACTURADA</v>
          </cell>
          <cell r="F2" t="e">
            <v>#N/A</v>
          </cell>
          <cell r="G2" t="str">
            <v>en proceso de facturación</v>
          </cell>
          <cell r="H2" t="str">
            <v xml:space="preserve">FACTURADA </v>
          </cell>
          <cell r="I2" t="e">
            <v>#N/A</v>
          </cell>
        </row>
        <row r="3">
          <cell r="B3" t="str">
            <v>4NEL002658</v>
          </cell>
          <cell r="C3" t="str">
            <v>SMNEL258752</v>
          </cell>
          <cell r="D3">
            <v>46116</v>
          </cell>
          <cell r="E3" t="str">
            <v>FACTURADA</v>
          </cell>
          <cell r="F3" t="e">
            <v>#N/A</v>
          </cell>
          <cell r="G3" t="e">
            <v>#N/A</v>
          </cell>
          <cell r="I3" t="e">
            <v>#N/A</v>
          </cell>
        </row>
        <row r="4">
          <cell r="B4" t="str">
            <v>PO-2026-0052</v>
          </cell>
          <cell r="C4" t="str">
            <v>KNEL258800</v>
          </cell>
          <cell r="D4">
            <v>46129</v>
          </cell>
          <cell r="E4" t="str">
            <v>sin comentarios por parte del proveedor</v>
          </cell>
          <cell r="F4">
            <v>46204</v>
          </cell>
          <cell r="G4" t="str">
            <v>APPOINTMENT PENDING</v>
          </cell>
          <cell r="H4" t="str">
            <v>NUTELLA PEANUT 12 CT</v>
          </cell>
          <cell r="I4" t="str">
            <v/>
          </cell>
        </row>
        <row r="5">
          <cell r="B5" t="str">
            <v>PO-2026-0052</v>
          </cell>
          <cell r="C5" t="str">
            <v>KNEL258797</v>
          </cell>
          <cell r="D5">
            <v>46129</v>
          </cell>
          <cell r="E5" t="str">
            <v>sin comentarios por parte del proveedor</v>
          </cell>
          <cell r="F5">
            <v>46235</v>
          </cell>
          <cell r="G5" t="str">
            <v>APPOINTMENT PENDING</v>
          </cell>
          <cell r="H5" t="str">
            <v>NUTELLA PEANUT 12 CT</v>
          </cell>
          <cell r="I5" t="str">
            <v/>
          </cell>
        </row>
        <row r="6">
          <cell r="B6" t="str">
            <v>KF-NEL126108</v>
          </cell>
          <cell r="C6" t="str">
            <v>KNE258722</v>
          </cell>
          <cell r="D6">
            <v>46134</v>
          </cell>
          <cell r="E6" t="str">
            <v>sin comentarios por parte del proveedor</v>
          </cell>
          <cell r="F6" t="e">
            <v>#N/A</v>
          </cell>
          <cell r="G6" t="e">
            <v>#N/A</v>
          </cell>
          <cell r="H6" t="str">
            <v>NUTELLA PEANUT</v>
          </cell>
          <cell r="I6" t="e">
            <v>#N/A</v>
          </cell>
        </row>
        <row r="7">
          <cell r="B7" t="str">
            <v>GM-NEL119325 BO</v>
          </cell>
          <cell r="C7" t="str">
            <v xml:space="preserve">GMNEL258760 </v>
          </cell>
          <cell r="D7">
            <v>46134</v>
          </cell>
          <cell r="E7" t="str">
            <v>FACTURADA</v>
          </cell>
          <cell r="F7" t="e">
            <v>#N/A</v>
          </cell>
          <cell r="G7" t="str">
            <v xml:space="preserve">FACTURADA </v>
          </cell>
          <cell r="I7" t="e">
            <v>#N/A</v>
          </cell>
        </row>
        <row r="8">
          <cell r="B8" t="str">
            <v>4NEL001542</v>
          </cell>
          <cell r="C8" t="str">
            <v>SMNEL258725</v>
          </cell>
          <cell r="D8">
            <v>46134</v>
          </cell>
          <cell r="E8" t="str">
            <v xml:space="preserve">FACTURADA </v>
          </cell>
          <cell r="F8" t="e">
            <v>#N/A</v>
          </cell>
          <cell r="I8" t="e">
            <v>#N/A</v>
          </cell>
        </row>
        <row r="9">
          <cell r="B9" t="str">
            <v>4NEL001549</v>
          </cell>
          <cell r="C9" t="str">
            <v xml:space="preserve">SMNEL258780 </v>
          </cell>
          <cell r="D9">
            <v>46134</v>
          </cell>
          <cell r="E9" t="str">
            <v>FACTURADA</v>
          </cell>
          <cell r="F9" t="e">
            <v>#N/A</v>
          </cell>
          <cell r="G9" t="str">
            <v xml:space="preserve">FACTURADA </v>
          </cell>
          <cell r="I9" t="e">
            <v>#N/A</v>
          </cell>
        </row>
        <row r="10">
          <cell r="B10" t="str">
            <v>4NEL001548</v>
          </cell>
          <cell r="C10" t="str">
            <v>SMNEL258795</v>
          </cell>
          <cell r="D10">
            <v>46134</v>
          </cell>
          <cell r="E10" t="str">
            <v>FACTURADA</v>
          </cell>
          <cell r="F10" t="e">
            <v>#N/A</v>
          </cell>
          <cell r="I10" t="e">
            <v>#N/A</v>
          </cell>
        </row>
        <row r="11">
          <cell r="B11" t="str">
            <v>4NEL000111</v>
          </cell>
          <cell r="C11" t="str">
            <v>SMNEL258754</v>
          </cell>
          <cell r="D11">
            <v>46135</v>
          </cell>
          <cell r="E11" t="str">
            <v>FACTURADA</v>
          </cell>
          <cell r="F11" t="e">
            <v>#N/A</v>
          </cell>
          <cell r="H11" t="str">
            <v xml:space="preserve">FACTURADA </v>
          </cell>
          <cell r="I11" t="e">
            <v>#N/A</v>
          </cell>
        </row>
        <row r="12">
          <cell r="B12" t="str">
            <v>4NEL001545</v>
          </cell>
          <cell r="C12" t="str">
            <v>SMNEL258762</v>
          </cell>
          <cell r="D12">
            <v>46135</v>
          </cell>
          <cell r="E12" t="str">
            <v>FACTURADA</v>
          </cell>
          <cell r="F12" t="e">
            <v>#N/A</v>
          </cell>
          <cell r="I12" t="e">
            <v>#N/A</v>
          </cell>
        </row>
        <row r="13">
          <cell r="B13" t="str">
            <v>4NEL002685</v>
          </cell>
          <cell r="C13" t="str">
            <v>SMNEL258809</v>
          </cell>
          <cell r="D13">
            <v>46139</v>
          </cell>
          <cell r="E13" t="str">
            <v>FACTURADA</v>
          </cell>
          <cell r="F13" t="e">
            <v>#N/A</v>
          </cell>
          <cell r="G13" t="str">
            <v>Monday 4/27/26, 9:00AM</v>
          </cell>
          <cell r="I13" t="e">
            <v>#N/A</v>
          </cell>
        </row>
        <row r="14">
          <cell r="B14" t="str">
            <v>12CAN017236</v>
          </cell>
          <cell r="C14" t="str">
            <v>SOCAN258-260011R</v>
          </cell>
          <cell r="D14">
            <v>46139</v>
          </cell>
          <cell r="E14" t="str">
            <v>FACTURADA</v>
          </cell>
          <cell r="F14" t="e">
            <v>#N/A</v>
          </cell>
          <cell r="G14" t="str">
            <v xml:space="preserve">YA EN ALMACEN </v>
          </cell>
          <cell r="I14" t="e">
            <v>#N/A</v>
          </cell>
        </row>
        <row r="15">
          <cell r="B15" t="str">
            <v>KF-NEL126107</v>
          </cell>
          <cell r="C15" t="str">
            <v>KNE258723</v>
          </cell>
          <cell r="D15">
            <v>46134</v>
          </cell>
          <cell r="E15" t="str">
            <v>sin comentarios por parte del proveedor</v>
          </cell>
          <cell r="F15" t="e">
            <v>#N/A</v>
          </cell>
          <cell r="G15" t="e">
            <v>#N/A</v>
          </cell>
          <cell r="H15" t="str">
            <v>NUTELLA PEANUT</v>
          </cell>
          <cell r="I15" t="e">
            <v>#N/A</v>
          </cell>
        </row>
        <row r="16">
          <cell r="B16" t="str">
            <v>PO-2026-0046</v>
          </cell>
          <cell r="C16" t="str">
            <v>BCA258773</v>
          </cell>
          <cell r="D16">
            <v>46140</v>
          </cell>
          <cell r="E16" t="str">
            <v>FACTURADA</v>
          </cell>
          <cell r="F16" t="e">
            <v>#N/A</v>
          </cell>
          <cell r="I16" t="e">
            <v>#N/A</v>
          </cell>
        </row>
        <row r="17">
          <cell r="B17" t="str">
            <v>KF-NEL126110</v>
          </cell>
          <cell r="C17" t="str">
            <v>KNEL258728</v>
          </cell>
          <cell r="D17">
            <v>46134</v>
          </cell>
          <cell r="E17" t="str">
            <v>sin comentarios por parte del proveedor</v>
          </cell>
          <cell r="F17" t="e">
            <v>#N/A</v>
          </cell>
          <cell r="G17" t="e">
            <v>#N/A</v>
          </cell>
          <cell r="H17" t="str">
            <v>NUTELLA PEANUT</v>
          </cell>
          <cell r="I17" t="e">
            <v>#N/A</v>
          </cell>
        </row>
        <row r="18">
          <cell r="B18" t="str">
            <v>4NEL002666</v>
          </cell>
          <cell r="C18" t="str">
            <v>SMNEL258758</v>
          </cell>
          <cell r="D18">
            <v>46140</v>
          </cell>
          <cell r="E18" t="str">
            <v>FACTURADA</v>
          </cell>
          <cell r="F18" t="e">
            <v>#N/A</v>
          </cell>
          <cell r="G18" t="str">
            <v>Monday 4/27/26, 7:00AM</v>
          </cell>
          <cell r="I18" t="e">
            <v>#N/A</v>
          </cell>
        </row>
        <row r="19">
          <cell r="B19" t="str">
            <v>4NEL001535</v>
          </cell>
          <cell r="C19" t="str">
            <v>SMNEL258698</v>
          </cell>
          <cell r="D19">
            <v>46140</v>
          </cell>
          <cell r="E19" t="str">
            <v>FACTURADA</v>
          </cell>
          <cell r="F19" t="e">
            <v>#N/A</v>
          </cell>
          <cell r="G19" t="e">
            <v>#N/A</v>
          </cell>
          <cell r="I19" t="e">
            <v>#N/A</v>
          </cell>
        </row>
        <row r="20">
          <cell r="B20" t="str">
            <v>4NEL001539</v>
          </cell>
          <cell r="C20" t="str">
            <v>SMNEL258704</v>
          </cell>
          <cell r="D20">
            <v>46141</v>
          </cell>
          <cell r="E20" t="str">
            <v>FACTURADA</v>
          </cell>
          <cell r="F20" t="e">
            <v>#N/A</v>
          </cell>
          <cell r="G20">
            <v>46141</v>
          </cell>
          <cell r="I20" t="e">
            <v>#N/A</v>
          </cell>
        </row>
        <row r="21">
          <cell r="B21" t="str">
            <v>4NEL002676</v>
          </cell>
          <cell r="C21" t="str">
            <v>SMNEL258803</v>
          </cell>
          <cell r="D21">
            <v>46141</v>
          </cell>
          <cell r="E21" t="str">
            <v>FACTURADA</v>
          </cell>
          <cell r="F21" t="e">
            <v>#N/A</v>
          </cell>
          <cell r="G21" t="str">
            <v>Wednesday 4/29/26, 7:00AM.</v>
          </cell>
          <cell r="I21" t="e">
            <v>#N/A</v>
          </cell>
        </row>
        <row r="22">
          <cell r="B22" t="str">
            <v>4NEL002698</v>
          </cell>
          <cell r="C22" t="str">
            <v>SO-NEL258-260022R</v>
          </cell>
          <cell r="D22">
            <v>46141</v>
          </cell>
          <cell r="E22" t="str">
            <v>FACTURADA</v>
          </cell>
          <cell r="F22" t="e">
            <v>#N/A</v>
          </cell>
          <cell r="G22">
            <v>46141</v>
          </cell>
          <cell r="I22" t="e">
            <v>#N/A</v>
          </cell>
        </row>
        <row r="23">
          <cell r="B23" t="str">
            <v>4NEL002694</v>
          </cell>
          <cell r="C23" t="str">
            <v xml:space="preserve">SO-NEL258-260021R </v>
          </cell>
          <cell r="D23">
            <v>46141</v>
          </cell>
          <cell r="E23" t="str">
            <v>FACTURADA</v>
          </cell>
          <cell r="F23" t="e">
            <v>#N/A</v>
          </cell>
          <cell r="G23">
            <v>46141</v>
          </cell>
          <cell r="I23" t="e">
            <v>#N/A</v>
          </cell>
        </row>
        <row r="24">
          <cell r="B24" t="str">
            <v>1HOU002672</v>
          </cell>
          <cell r="C24" t="str">
            <v>AHOU258772</v>
          </cell>
          <cell r="D24">
            <v>46141</v>
          </cell>
          <cell r="E24" t="str">
            <v>FACTURADA</v>
          </cell>
          <cell r="F24" t="e">
            <v>#N/A</v>
          </cell>
          <cell r="I24" t="e">
            <v>#N/A</v>
          </cell>
        </row>
        <row r="25">
          <cell r="B25" t="str">
            <v>4NEL002690</v>
          </cell>
          <cell r="C25" t="str">
            <v>SO-NEL258-260012R</v>
          </cell>
          <cell r="D25">
            <v>46139</v>
          </cell>
          <cell r="E25" t="str">
            <v xml:space="preserve">FACTURADA </v>
          </cell>
          <cell r="F25" t="e">
            <v>#N/A</v>
          </cell>
          <cell r="G25" t="e">
            <v>#N/A</v>
          </cell>
          <cell r="I25" t="e">
            <v>#N/A</v>
          </cell>
        </row>
        <row r="26">
          <cell r="B26" t="str">
            <v>PO-NEL119-260060K</v>
          </cell>
          <cell r="C26" t="str">
            <v>SO-NEL258-260026R</v>
          </cell>
          <cell r="D26">
            <v>46142</v>
          </cell>
          <cell r="E26" t="str">
            <v>FACTURADA</v>
          </cell>
          <cell r="F26" t="e">
            <v>#N/A</v>
          </cell>
          <cell r="I26" t="str">
            <v/>
          </cell>
        </row>
        <row r="27">
          <cell r="B27" t="str">
            <v>12NE002677</v>
          </cell>
          <cell r="C27" t="str">
            <v>BNE258805/BNE258808</v>
          </cell>
          <cell r="D27">
            <v>46142</v>
          </cell>
          <cell r="E27" t="str">
            <v>FACTURADA</v>
          </cell>
          <cell r="F27" t="e">
            <v>#N/A</v>
          </cell>
          <cell r="I27" t="e">
            <v>#N/A</v>
          </cell>
        </row>
        <row r="28">
          <cell r="B28" t="str">
            <v>4NEL002658</v>
          </cell>
          <cell r="C28" t="str">
            <v>SMNEL258752</v>
          </cell>
          <cell r="D28">
            <v>46140</v>
          </cell>
          <cell r="E28" t="str">
            <v>FACTURADA</v>
          </cell>
          <cell r="F28" t="e">
            <v>#N/A</v>
          </cell>
          <cell r="G28" t="e">
            <v>#N/A</v>
          </cell>
          <cell r="I28" t="e">
            <v>#N/A</v>
          </cell>
        </row>
        <row r="29">
          <cell r="B29" t="str">
            <v>PO-NEL119-260064K</v>
          </cell>
          <cell r="C29" t="str">
            <v>SO-NEL258-260027R</v>
          </cell>
          <cell r="D29">
            <v>46142</v>
          </cell>
          <cell r="E29" t="str">
            <v>FACTURADA</v>
          </cell>
          <cell r="F29" t="e">
            <v>#N/A</v>
          </cell>
          <cell r="G29" t="e">
            <v>#N/A</v>
          </cell>
          <cell r="I29" t="e">
            <v>#N/A</v>
          </cell>
        </row>
        <row r="30">
          <cell r="B30" t="str">
            <v>4NEL002690</v>
          </cell>
          <cell r="C30" t="str">
            <v>SO-NEL258-260012R</v>
          </cell>
          <cell r="D30">
            <v>46142</v>
          </cell>
          <cell r="E30" t="str">
            <v>FACTURADA</v>
          </cell>
          <cell r="F30" t="e">
            <v>#N/A</v>
          </cell>
          <cell r="G30" t="e">
            <v>#N/A</v>
          </cell>
          <cell r="I30" t="e">
            <v>#N/A</v>
          </cell>
        </row>
        <row r="31">
          <cell r="B31" t="str">
            <v>PO-NELRDL-260035K</v>
          </cell>
          <cell r="C31" t="str">
            <v>SO-NEL258-260004R:</v>
          </cell>
          <cell r="D31">
            <v>46146</v>
          </cell>
          <cell r="E31" t="str">
            <v>FACTURADA</v>
          </cell>
          <cell r="F31" t="e">
            <v>#N/A</v>
          </cell>
          <cell r="I31" t="e">
            <v>#N/A</v>
          </cell>
        </row>
        <row r="32">
          <cell r="B32" t="str">
            <v>POCAN131-260074K</v>
          </cell>
          <cell r="C32" t="str">
            <v>SOCAN258-260046R</v>
          </cell>
          <cell r="D32">
            <v>46148</v>
          </cell>
          <cell r="E32" t="str">
            <v>FACTURADA</v>
          </cell>
          <cell r="F32" t="e">
            <v>#N/A</v>
          </cell>
          <cell r="G32" t="e">
            <v>#N/A</v>
          </cell>
          <cell r="I32" t="e">
            <v>#N/A</v>
          </cell>
        </row>
        <row r="33">
          <cell r="B33" t="str">
            <v>POCAN131-260071K</v>
          </cell>
          <cell r="C33" t="str">
            <v>SOCAN258-260045R</v>
          </cell>
          <cell r="D33">
            <v>46148</v>
          </cell>
          <cell r="E33" t="str">
            <v>FACTURADA</v>
          </cell>
          <cell r="F33" t="e">
            <v>#N/A</v>
          </cell>
          <cell r="G33" t="e">
            <v>#N/A</v>
          </cell>
          <cell r="I33" t="e">
            <v>#N/A</v>
          </cell>
        </row>
        <row r="34">
          <cell r="B34" t="str">
            <v>PO-NEL119-260059K</v>
          </cell>
          <cell r="C34" t="str">
            <v>SO-NEL258-260072R</v>
          </cell>
          <cell r="D34">
            <v>45788</v>
          </cell>
          <cell r="E34" t="str">
            <v>FACTURADA</v>
          </cell>
          <cell r="F34" t="e">
            <v>#N/A</v>
          </cell>
          <cell r="G34" t="e">
            <v>#N/A</v>
          </cell>
          <cell r="I34" t="e">
            <v>#N/A</v>
          </cell>
        </row>
        <row r="35">
          <cell r="B35" t="str">
            <v>KF-NEL126111</v>
          </cell>
          <cell r="C35" t="str">
            <v>KNEL258732</v>
          </cell>
          <cell r="D35">
            <v>46134</v>
          </cell>
          <cell r="E35" t="str">
            <v>sin comentarios por parte del proveedor</v>
          </cell>
          <cell r="F35" t="e">
            <v>#N/A</v>
          </cell>
          <cell r="G35" t="e">
            <v>#N/A</v>
          </cell>
          <cell r="H35" t="str">
            <v>NUTELLA PEANUT</v>
          </cell>
          <cell r="I35" t="e">
            <v>#N/A</v>
          </cell>
        </row>
        <row r="36">
          <cell r="B36" t="str">
            <v>KF-NEL126111</v>
          </cell>
          <cell r="C36" t="str">
            <v>KNEL258731</v>
          </cell>
          <cell r="D36">
            <v>46134</v>
          </cell>
          <cell r="E36" t="str">
            <v>sin comentarios por parte del proveedor</v>
          </cell>
          <cell r="F36" t="e">
            <v>#N/A</v>
          </cell>
          <cell r="G36" t="e">
            <v>#N/A</v>
          </cell>
          <cell r="H36" t="str">
            <v>NUTELLA PEANUT</v>
          </cell>
          <cell r="I36" t="e">
            <v>#N/A</v>
          </cell>
        </row>
        <row r="37">
          <cell r="B37" t="str">
            <v>PO-NEL130-260063K</v>
          </cell>
          <cell r="C37" t="str">
            <v>SO-NEL258-260041R</v>
          </cell>
          <cell r="D37">
            <v>46148</v>
          </cell>
          <cell r="E37" t="str">
            <v>FACTURADA</v>
          </cell>
          <cell r="F37">
            <v>46160</v>
          </cell>
          <cell r="G37" t="str">
            <v>BILLING IN PROCESS</v>
          </cell>
          <cell r="I37">
            <v>46160</v>
          </cell>
        </row>
        <row r="38">
          <cell r="B38" t="str">
            <v>PO-HOU110-260122K</v>
          </cell>
          <cell r="C38" t="str">
            <v>EXCEL</v>
          </cell>
          <cell r="E38" t="str">
            <v>FACTURADA</v>
          </cell>
          <cell r="F38" t="e">
            <v>#N/A</v>
          </cell>
          <cell r="G38" t="e">
            <v>#N/A</v>
          </cell>
          <cell r="I38" t="e">
            <v>#N/A</v>
          </cell>
        </row>
        <row r="39">
          <cell r="B39" t="str">
            <v>POCA131-260107K-BO</v>
          </cell>
          <cell r="C39" t="str">
            <v>SOCA258-260090R</v>
          </cell>
          <cell r="D39">
            <v>46157</v>
          </cell>
          <cell r="E39">
            <v>46163</v>
          </cell>
          <cell r="F39" t="e">
            <v>#N/A</v>
          </cell>
          <cell r="G39" t="e">
            <v>#N/A</v>
          </cell>
          <cell r="I39" t="e">
            <v>#N/A</v>
          </cell>
        </row>
        <row r="40">
          <cell r="B40" t="str">
            <v>PO-NEL134-260095K</v>
          </cell>
          <cell r="C40" t="str">
            <v>SO-NEL258-260071R</v>
          </cell>
          <cell r="D40">
            <v>46157</v>
          </cell>
          <cell r="F40">
            <v>46235</v>
          </cell>
          <cell r="G40" t="str">
            <v>APPOINTMENT PENDING</v>
          </cell>
          <cell r="H40" t="str">
            <v xml:space="preserve">NUTELLA PEANUT 15 CT </v>
          </cell>
          <cell r="I40" t="str">
            <v/>
          </cell>
        </row>
        <row r="41">
          <cell r="B41" t="str">
            <v>PO-NEL130-260099K</v>
          </cell>
          <cell r="C41" t="str">
            <v>SO-NEL258-260093R</v>
          </cell>
          <cell r="D41">
            <v>46160</v>
          </cell>
          <cell r="E41">
            <v>46171</v>
          </cell>
          <cell r="F41">
            <v>46171</v>
          </cell>
          <cell r="G41" t="str">
            <v/>
          </cell>
          <cell r="I41" t="str">
            <v/>
          </cell>
        </row>
        <row r="42">
          <cell r="B42" t="str">
            <v>PO-2026-0053</v>
          </cell>
          <cell r="D42">
            <v>46160</v>
          </cell>
          <cell r="E42" t="str">
            <v xml:space="preserve">FACTURADA </v>
          </cell>
          <cell r="F42" t="e">
            <v>#N/A</v>
          </cell>
          <cell r="G42" t="e">
            <v>#N/A</v>
          </cell>
          <cell r="H42" t="str">
            <v xml:space="preserve">BLUE DIAMOND </v>
          </cell>
          <cell r="I42" t="e">
            <v>#N/A</v>
          </cell>
        </row>
        <row r="43">
          <cell r="B43" t="str">
            <v>PO-NEL134-260078K</v>
          </cell>
          <cell r="C43" t="str">
            <v>SO-NEL258-260062R</v>
          </cell>
          <cell r="D43">
            <v>46160</v>
          </cell>
          <cell r="F43">
            <v>46204</v>
          </cell>
          <cell r="G43" t="str">
            <v/>
          </cell>
          <cell r="H43" t="str">
            <v xml:space="preserve">NUTELLA PEANUT 12 CT </v>
          </cell>
          <cell r="I43" t="e">
            <v>#N/A</v>
          </cell>
        </row>
        <row r="44">
          <cell r="B44" t="str">
            <v>PO-NELRDL-260074K</v>
          </cell>
          <cell r="C44" t="str">
            <v>SO-NEL258-260094R</v>
          </cell>
          <cell r="D44">
            <v>46160</v>
          </cell>
          <cell r="E44" t="str">
            <v xml:space="preserve">FACTURADA </v>
          </cell>
          <cell r="F44">
            <v>46160</v>
          </cell>
          <cell r="G44" t="str">
            <v/>
          </cell>
          <cell r="I44" t="e">
            <v>#N/A</v>
          </cell>
        </row>
        <row r="45">
          <cell r="B45" t="str">
            <v>PO-NEL130-260100K</v>
          </cell>
          <cell r="C45" t="str">
            <v>SO-NEL258-260094R</v>
          </cell>
          <cell r="D45">
            <v>46160</v>
          </cell>
          <cell r="E45" t="str">
            <v>FACTURADA</v>
          </cell>
          <cell r="F45">
            <v>46160</v>
          </cell>
          <cell r="G45" t="str">
            <v/>
          </cell>
          <cell r="I45" t="e">
            <v>#N/A</v>
          </cell>
        </row>
        <row r="46">
          <cell r="B46" t="str">
            <v>PO-NEL130-260094K</v>
          </cell>
          <cell r="C46" t="str">
            <v>SO-NEL258-260094R</v>
          </cell>
          <cell r="D46">
            <v>46160</v>
          </cell>
          <cell r="E46" t="str">
            <v>FACTURADA</v>
          </cell>
          <cell r="F46">
            <v>46160</v>
          </cell>
          <cell r="G46" t="str">
            <v/>
          </cell>
          <cell r="I46" t="e">
            <v>#N/A</v>
          </cell>
        </row>
        <row r="47">
          <cell r="B47" t="str">
            <v>PO-NEL130-260093K</v>
          </cell>
          <cell r="C47" t="str">
            <v>SO-NEL258-260091R</v>
          </cell>
          <cell r="D47">
            <v>46160</v>
          </cell>
          <cell r="E47" t="str">
            <v>FACTURADA</v>
          </cell>
          <cell r="F47">
            <v>46160</v>
          </cell>
          <cell r="G47" t="str">
            <v/>
          </cell>
          <cell r="I47">
            <v>46160</v>
          </cell>
        </row>
        <row r="48">
          <cell r="B48" t="str">
            <v>4NEL001543</v>
          </cell>
          <cell r="C48" t="str">
            <v>SMNEL258748</v>
          </cell>
          <cell r="D48">
            <v>46160</v>
          </cell>
          <cell r="F48">
            <v>46163</v>
          </cell>
          <cell r="G48" t="str">
            <v>APPOINTMENT CONFIRMED</v>
          </cell>
          <cell r="I48">
            <v>46163</v>
          </cell>
        </row>
        <row r="49">
          <cell r="B49" t="str">
            <v>4NEL001537</v>
          </cell>
          <cell r="C49" t="str">
            <v>SMNEL258711</v>
          </cell>
          <cell r="D49">
            <v>46160</v>
          </cell>
          <cell r="F49">
            <v>46163</v>
          </cell>
          <cell r="G49" t="str">
            <v>APPOINTMENT CONFIRMED</v>
          </cell>
          <cell r="I49">
            <v>46163</v>
          </cell>
        </row>
        <row r="50">
          <cell r="B50" t="str">
            <v>PO-NEL130-260098K</v>
          </cell>
          <cell r="C50" t="str">
            <v>SO-NEL258-260092R</v>
          </cell>
          <cell r="D50">
            <v>46161</v>
          </cell>
          <cell r="E50" t="str">
            <v>FACTURADA</v>
          </cell>
          <cell r="F50">
            <v>46162</v>
          </cell>
          <cell r="G50" t="str">
            <v>INVOICED</v>
          </cell>
          <cell r="I50">
            <v>46161</v>
          </cell>
        </row>
        <row r="51">
          <cell r="B51" t="str">
            <v>POCA129-260115K</v>
          </cell>
          <cell r="C51" t="str">
            <v>SOCA258-260117R</v>
          </cell>
          <cell r="D51">
            <v>46161</v>
          </cell>
          <cell r="F51">
            <v>46171</v>
          </cell>
          <cell r="G51" t="str">
            <v>ETA CONFIRMED</v>
          </cell>
          <cell r="I51" t="e">
            <v>#N/A</v>
          </cell>
        </row>
        <row r="52">
          <cell r="B52" t="str">
            <v>PO-HOU107-260090K</v>
          </cell>
          <cell r="C52" t="str">
            <v>ICEE</v>
          </cell>
          <cell r="D52">
            <v>46161</v>
          </cell>
          <cell r="F52" t="e">
            <v>#N/A</v>
          </cell>
          <cell r="G52" t="e">
            <v>#N/A</v>
          </cell>
          <cell r="I52" t="e">
            <v>#N/A</v>
          </cell>
        </row>
        <row r="53">
          <cell r="B53" t="str">
            <v>PO-NEL130-260121K</v>
          </cell>
          <cell r="C53" t="str">
            <v>SO-NE258-260119R</v>
          </cell>
          <cell r="D53">
            <v>46161</v>
          </cell>
          <cell r="F53">
            <v>46162</v>
          </cell>
          <cell r="G53" t="str">
            <v>ETA CONFIRMED</v>
          </cell>
          <cell r="I53" t="e">
            <v>#N/A</v>
          </cell>
        </row>
        <row r="54">
          <cell r="B54" t="str">
            <v>POCA129-260118K</v>
          </cell>
          <cell r="C54" t="str">
            <v>SOCA258-260118R</v>
          </cell>
          <cell r="D54">
            <v>46161</v>
          </cell>
          <cell r="F54">
            <v>46163</v>
          </cell>
          <cell r="G54" t="str">
            <v>APPOINTMENT CONFIRMED</v>
          </cell>
          <cell r="I54">
            <v>46164</v>
          </cell>
        </row>
        <row r="55">
          <cell r="B55" t="str">
            <v>POHOU-260084-SK</v>
          </cell>
          <cell r="C55" t="str">
            <v>SO-HOU258-260105R</v>
          </cell>
          <cell r="D55">
            <v>46161</v>
          </cell>
          <cell r="E55" t="str">
            <v xml:space="preserve">STOCK KLEOS </v>
          </cell>
          <cell r="F55">
            <v>46164</v>
          </cell>
          <cell r="G55" t="str">
            <v/>
          </cell>
          <cell r="I55" t="e">
            <v>#N/A</v>
          </cell>
        </row>
        <row r="56">
          <cell r="B56" t="str">
            <v>12CAN017238</v>
          </cell>
          <cell r="C56" t="str">
            <v xml:space="preserve">SOCAN258-260025R </v>
          </cell>
          <cell r="D56" t="str">
            <v>N/A</v>
          </cell>
          <cell r="E56" t="str">
            <v>FACTURADA</v>
          </cell>
          <cell r="F56" t="e">
            <v>#N/A</v>
          </cell>
          <cell r="G56" t="str">
            <v xml:space="preserve">YA EN ALMACEN </v>
          </cell>
          <cell r="I56" t="e">
            <v>#N/A</v>
          </cell>
        </row>
        <row r="57">
          <cell r="B57" t="str">
            <v>4NEL001546</v>
          </cell>
          <cell r="C57" t="str">
            <v>SMNEL258765</v>
          </cell>
          <cell r="D57">
            <v>46162</v>
          </cell>
          <cell r="F57">
            <v>46164</v>
          </cell>
          <cell r="G57" t="str">
            <v>ETA CONFIRMED</v>
          </cell>
          <cell r="I57">
            <v>46163</v>
          </cell>
        </row>
        <row r="58">
          <cell r="B58" t="str">
            <v>POCA116-260114K</v>
          </cell>
          <cell r="C58" t="str">
            <v>SOCA258-260100R</v>
          </cell>
          <cell r="D58">
            <v>46162</v>
          </cell>
          <cell r="F58">
            <v>46174</v>
          </cell>
          <cell r="G58" t="str">
            <v>ETA CONFIRMED</v>
          </cell>
          <cell r="I58">
            <v>46174</v>
          </cell>
        </row>
        <row r="59">
          <cell r="B59" t="str">
            <v>PO-HOU107-260097K</v>
          </cell>
          <cell r="C59" t="str">
            <v>SO-HOU258-260101R</v>
          </cell>
          <cell r="D59">
            <v>46162</v>
          </cell>
          <cell r="F59">
            <v>46161</v>
          </cell>
          <cell r="G59" t="str">
            <v>ETA CONFIRMED</v>
          </cell>
          <cell r="I59" t="e">
            <v>#N/A</v>
          </cell>
        </row>
        <row r="60">
          <cell r="B60" t="str">
            <v>POCA131-260109K</v>
          </cell>
          <cell r="C60" t="str">
            <v>SO-KCA258-260097R</v>
          </cell>
          <cell r="D60">
            <v>46162</v>
          </cell>
          <cell r="F60">
            <v>46204</v>
          </cell>
          <cell r="G60" t="str">
            <v/>
          </cell>
          <cell r="H60" t="str">
            <v xml:space="preserve">NUTELLA PEANUT 15 CT </v>
          </cell>
          <cell r="I60" t="e">
            <v>#N/A</v>
          </cell>
        </row>
        <row r="61">
          <cell r="B61" t="str">
            <v>POCA131-260109K</v>
          </cell>
          <cell r="C61" t="str">
            <v>SO-KCA258-260098R</v>
          </cell>
          <cell r="D61">
            <v>46162</v>
          </cell>
          <cell r="F61">
            <v>46204</v>
          </cell>
          <cell r="G61" t="str">
            <v/>
          </cell>
          <cell r="I61" t="e">
            <v>#N/A</v>
          </cell>
        </row>
        <row r="62">
          <cell r="B62" t="str">
            <v>PO-NELRDL-260082K</v>
          </cell>
          <cell r="C62" t="str">
            <v>SO-NEL258-260104R</v>
          </cell>
          <cell r="D62">
            <v>46162</v>
          </cell>
          <cell r="F62">
            <v>46175</v>
          </cell>
          <cell r="G62" t="str">
            <v>ETA CONFIRMED</v>
          </cell>
          <cell r="I62">
            <v>46170</v>
          </cell>
        </row>
        <row r="63">
          <cell r="B63" t="str">
            <v>POCA129-260106K</v>
          </cell>
          <cell r="C63" t="str">
            <v>SOCA258-260116R</v>
          </cell>
          <cell r="D63">
            <v>46162</v>
          </cell>
          <cell r="F63">
            <v>46163</v>
          </cell>
          <cell r="G63" t="str">
            <v/>
          </cell>
          <cell r="I63">
            <v>46163</v>
          </cell>
        </row>
        <row r="64">
          <cell r="B64" t="str">
            <v>PO-NEL129-260104K</v>
          </cell>
          <cell r="C64" t="str">
            <v>SO-NEL258-260121R</v>
          </cell>
          <cell r="D64">
            <v>46162</v>
          </cell>
          <cell r="F64">
            <v>46169</v>
          </cell>
          <cell r="G64" t="str">
            <v>ETA CONFIRMED</v>
          </cell>
          <cell r="I64" t="e">
            <v>#N/A</v>
          </cell>
        </row>
        <row r="65">
          <cell r="B65" t="str">
            <v>POCAN131-260081K</v>
          </cell>
          <cell r="C65" t="str">
            <v>SOCAN258-260085R</v>
          </cell>
          <cell r="D65">
            <v>46162</v>
          </cell>
          <cell r="F65">
            <v>46164</v>
          </cell>
          <cell r="G65" t="str">
            <v>ETA CONFIRMED</v>
          </cell>
          <cell r="I65">
            <v>46162</v>
          </cell>
        </row>
        <row r="66">
          <cell r="B66" t="str">
            <v>PO-GMNJ126-260111K</v>
          </cell>
          <cell r="C66" t="str">
            <v>SO-NEL258-260124R</v>
          </cell>
          <cell r="D66">
            <v>46162</v>
          </cell>
          <cell r="F66">
            <v>46164</v>
          </cell>
          <cell r="G66" t="str">
            <v/>
          </cell>
          <cell r="I66">
            <v>46169</v>
          </cell>
        </row>
        <row r="67">
          <cell r="B67" t="str">
            <v>POAGS1131-260119K</v>
          </cell>
          <cell r="C67" t="str">
            <v>SOCAN258-260123R</v>
          </cell>
          <cell r="D67">
            <v>46162</v>
          </cell>
          <cell r="F67">
            <v>46163</v>
          </cell>
          <cell r="G67" t="str">
            <v/>
          </cell>
          <cell r="I67" t="e">
            <v>#N/A</v>
          </cell>
        </row>
        <row r="68">
          <cell r="B68" t="str">
            <v>PO-HOU107-260092K</v>
          </cell>
          <cell r="C68" t="str">
            <v>SO-HOU258-260102R</v>
          </cell>
          <cell r="D68">
            <v>46163</v>
          </cell>
          <cell r="F68">
            <v>46163</v>
          </cell>
          <cell r="G68" t="str">
            <v/>
          </cell>
          <cell r="I68" t="e">
            <v>#N/A</v>
          </cell>
        </row>
        <row r="69">
          <cell r="B69" t="str">
            <v>PONEL129-260088K</v>
          </cell>
          <cell r="C69" t="str">
            <v>SO-NE258-260115R</v>
          </cell>
          <cell r="D69">
            <v>46163</v>
          </cell>
          <cell r="E69" t="str">
            <v>29/05</v>
          </cell>
          <cell r="F69">
            <v>46163</v>
          </cell>
          <cell r="G69" t="str">
            <v/>
          </cell>
          <cell r="I69" t="e">
            <v>#N/A</v>
          </cell>
        </row>
        <row r="70">
          <cell r="B70" t="str">
            <v>4NEL001553</v>
          </cell>
          <cell r="C70" t="str">
            <v>SO-NEL258-260024R</v>
          </cell>
          <cell r="D70">
            <v>46163</v>
          </cell>
          <cell r="F70">
            <v>46163</v>
          </cell>
          <cell r="G70" t="str">
            <v>APPOINTMENT CONFIRMED</v>
          </cell>
          <cell r="I70">
            <v>46169</v>
          </cell>
        </row>
        <row r="71">
          <cell r="B71" t="str">
            <v>POCA131-260109K</v>
          </cell>
          <cell r="C71" t="str">
            <v>SO-KCA258-260000R</v>
          </cell>
          <cell r="D71">
            <v>46164</v>
          </cell>
          <cell r="F71">
            <v>46204</v>
          </cell>
          <cell r="G71" t="str">
            <v/>
          </cell>
          <cell r="I71" t="e">
            <v>#N/A</v>
          </cell>
        </row>
        <row r="72">
          <cell r="B72" t="str">
            <v>PO-NEL130-260117K</v>
          </cell>
          <cell r="C72" t="str">
            <v>SO-NEL258-260126R</v>
          </cell>
          <cell r="D72">
            <v>46164</v>
          </cell>
          <cell r="F72">
            <v>46164</v>
          </cell>
          <cell r="G72" t="str">
            <v/>
          </cell>
          <cell r="I72" t="e">
            <v>#N/A</v>
          </cell>
        </row>
        <row r="73">
          <cell r="B73" t="str">
            <v>PO-HOU107-260102K</v>
          </cell>
          <cell r="D73">
            <v>46164</v>
          </cell>
          <cell r="E73" t="str">
            <v xml:space="preserve">FERRARA </v>
          </cell>
          <cell r="F73" t="e">
            <v>#N/A</v>
          </cell>
          <cell r="G73" t="e">
            <v>#N/A</v>
          </cell>
          <cell r="I73" t="e">
            <v>#N/A</v>
          </cell>
        </row>
        <row r="74">
          <cell r="B74" t="str">
            <v>POCA129-260136K</v>
          </cell>
          <cell r="C74" t="str">
            <v>SOCA258-260133R</v>
          </cell>
          <cell r="D74">
            <v>46167</v>
          </cell>
          <cell r="F74">
            <v>46169</v>
          </cell>
          <cell r="G74" t="str">
            <v/>
          </cell>
          <cell r="I74" t="e">
            <v>#N/A</v>
          </cell>
        </row>
        <row r="75">
          <cell r="B75" t="str">
            <v>POCAN131-260075K</v>
          </cell>
          <cell r="C75" t="str">
            <v>SOCAN258-260052R</v>
          </cell>
          <cell r="D75">
            <v>46148</v>
          </cell>
          <cell r="E75" t="str">
            <v>FACTURADA</v>
          </cell>
          <cell r="F75" t="str">
            <v>Delivered</v>
          </cell>
          <cell r="G75" t="str">
            <v>INVOICED</v>
          </cell>
          <cell r="I75">
            <v>46146</v>
          </cell>
        </row>
        <row r="76">
          <cell r="B76" t="str">
            <v>PO-NE129-260134K</v>
          </cell>
          <cell r="C76" t="str">
            <v>SO-NE258-260131R</v>
          </cell>
          <cell r="D76">
            <v>46167</v>
          </cell>
          <cell r="F76">
            <v>46167</v>
          </cell>
          <cell r="G76" t="str">
            <v/>
          </cell>
          <cell r="I76" t="e">
            <v>#N/A</v>
          </cell>
        </row>
        <row r="77">
          <cell r="B77" t="str">
            <v>POCA129-260133K</v>
          </cell>
          <cell r="C77" t="str">
            <v>SOCA258-260132R</v>
          </cell>
          <cell r="D77">
            <v>46167</v>
          </cell>
          <cell r="F77">
            <v>46170</v>
          </cell>
          <cell r="G77" t="str">
            <v/>
          </cell>
          <cell r="I77" t="e">
            <v>#N/A</v>
          </cell>
        </row>
        <row r="78">
          <cell r="B78" t="str">
            <v>4NEL002696PO</v>
          </cell>
          <cell r="C78" t="str">
            <v>SO-NEL258-260017R</v>
          </cell>
          <cell r="D78">
            <v>46146</v>
          </cell>
          <cell r="E78" t="str">
            <v xml:space="preserve">FACTURADA </v>
          </cell>
          <cell r="F78" t="str">
            <v>Delivered</v>
          </cell>
          <cell r="G78" t="str">
            <v>INVOICED</v>
          </cell>
          <cell r="I78" t="str">
            <v/>
          </cell>
        </row>
        <row r="79">
          <cell r="B79" t="str">
            <v>POCAN131-260056K</v>
          </cell>
          <cell r="C79" t="str">
            <v>SOCAN258-260013R-1</v>
          </cell>
          <cell r="D79">
            <v>46148</v>
          </cell>
          <cell r="E79" t="str">
            <v>FACTURADA</v>
          </cell>
          <cell r="F79" t="str">
            <v>Delivered</v>
          </cell>
          <cell r="G79" t="str">
            <v>INVOICED</v>
          </cell>
          <cell r="I79">
            <v>46147</v>
          </cell>
        </row>
        <row r="80">
          <cell r="B80" t="str">
            <v>4NEL002665</v>
          </cell>
          <cell r="C80" t="str">
            <v>SMNEL258801</v>
          </cell>
          <cell r="D80">
            <v>46140</v>
          </cell>
          <cell r="E80" t="str">
            <v>FACTURADA</v>
          </cell>
          <cell r="F80" t="str">
            <v>Delivered</v>
          </cell>
          <cell r="G80" t="str">
            <v>INVOICED</v>
          </cell>
          <cell r="I80" t="str">
            <v>FACTURADO</v>
          </cell>
        </row>
        <row r="81">
          <cell r="B81" t="str">
            <v>PO-2026-0048 /2</v>
          </cell>
          <cell r="C81" t="str">
            <v>SO-HOU258-260039R</v>
          </cell>
          <cell r="D81">
            <v>46155</v>
          </cell>
          <cell r="E81" t="str">
            <v>FACTURADA</v>
          </cell>
          <cell r="F81" t="str">
            <v>Delivered</v>
          </cell>
          <cell r="G81" t="str">
            <v>INVOICED</v>
          </cell>
          <cell r="H81" t="str">
            <v>Espera 2 itms 11/05</v>
          </cell>
          <cell r="I81" t="str">
            <v/>
          </cell>
        </row>
        <row r="82">
          <cell r="B82" t="str">
            <v>PO-NEL130-260086K</v>
          </cell>
          <cell r="C82" t="str">
            <v>SO-NEL258-260076R</v>
          </cell>
          <cell r="D82">
            <v>46155</v>
          </cell>
          <cell r="E82" t="str">
            <v>FACTURADA</v>
          </cell>
          <cell r="F82" t="str">
            <v>Delivered</v>
          </cell>
          <cell r="G82" t="str">
            <v>INVOICED</v>
          </cell>
          <cell r="I82">
            <v>46153</v>
          </cell>
        </row>
        <row r="83">
          <cell r="B83" t="str">
            <v>PO-NEL130-260085K</v>
          </cell>
          <cell r="C83" t="str">
            <v>SO-NEL258-260076R</v>
          </cell>
          <cell r="D83">
            <v>46155</v>
          </cell>
          <cell r="E83" t="str">
            <v>FACTURADA</v>
          </cell>
          <cell r="F83" t="str">
            <v>Delivered</v>
          </cell>
          <cell r="G83" t="str">
            <v>INVOICED</v>
          </cell>
          <cell r="I83">
            <v>46153</v>
          </cell>
        </row>
        <row r="84">
          <cell r="B84" t="str">
            <v>PO-NELRDL-260055K</v>
          </cell>
          <cell r="C84" t="str">
            <v>SO-NEL258-260076R</v>
          </cell>
          <cell r="D84">
            <v>46156</v>
          </cell>
          <cell r="E84" t="str">
            <v>FACTURADA</v>
          </cell>
          <cell r="F84" t="str">
            <v>Delivered</v>
          </cell>
          <cell r="G84" t="str">
            <v>INVOICED</v>
          </cell>
          <cell r="I84">
            <v>46153</v>
          </cell>
        </row>
        <row r="85">
          <cell r="B85" t="str">
            <v>PO-NEL130-260079K</v>
          </cell>
          <cell r="C85" t="str">
            <v>SO-NEL258-260073R</v>
          </cell>
          <cell r="D85">
            <v>46156</v>
          </cell>
          <cell r="E85" t="str">
            <v>FACTURADA</v>
          </cell>
          <cell r="F85" t="str">
            <v>Delivered</v>
          </cell>
          <cell r="G85" t="str">
            <v>INVOICED</v>
          </cell>
          <cell r="I85">
            <v>46153</v>
          </cell>
        </row>
        <row r="86">
          <cell r="B86" t="str">
            <v>PO-NEL130-260082K</v>
          </cell>
          <cell r="C86" t="str">
            <v>SO-NEL258-260075R</v>
          </cell>
          <cell r="D86">
            <v>46156</v>
          </cell>
          <cell r="E86" t="str">
            <v>FACTURADA</v>
          </cell>
          <cell r="F86" t="str">
            <v>Delivered</v>
          </cell>
          <cell r="G86" t="str">
            <v>INVOICED</v>
          </cell>
          <cell r="I86">
            <v>46154</v>
          </cell>
        </row>
        <row r="87">
          <cell r="B87" t="str">
            <v>PO-HOU129-260073K</v>
          </cell>
          <cell r="C87" t="str">
            <v>SO-NEL258-260061R</v>
          </cell>
          <cell r="D87">
            <v>46153</v>
          </cell>
          <cell r="E87" t="str">
            <v>FACTURADA</v>
          </cell>
          <cell r="F87" t="str">
            <v>Delivered</v>
          </cell>
          <cell r="G87" t="str">
            <v>INVOICED</v>
          </cell>
          <cell r="I87" t="str">
            <v/>
          </cell>
        </row>
        <row r="88">
          <cell r="B88" t="str">
            <v>PO-NEL130-260068K</v>
          </cell>
          <cell r="C88" t="str">
            <v>SO-NEL258-260060R</v>
          </cell>
          <cell r="D88">
            <v>46153</v>
          </cell>
          <cell r="E88" t="str">
            <v>FACTURADA</v>
          </cell>
          <cell r="F88" t="str">
            <v>Delivered</v>
          </cell>
          <cell r="G88" t="str">
            <v>INVOICED</v>
          </cell>
          <cell r="I88" t="str">
            <v/>
          </cell>
        </row>
        <row r="89">
          <cell r="B89" t="str">
            <v>PO-NEL119-260125K</v>
          </cell>
          <cell r="C89" t="str">
            <v>SO-SMNEL258-0179R</v>
          </cell>
          <cell r="D89">
            <v>46167</v>
          </cell>
          <cell r="F89" t="e">
            <v>#N/A</v>
          </cell>
          <cell r="G89" t="e">
            <v>#N/A</v>
          </cell>
          <cell r="I89" t="e">
            <v>#N/A</v>
          </cell>
        </row>
        <row r="90">
          <cell r="B90" t="str">
            <v>PO-NEL119-260124K</v>
          </cell>
          <cell r="C90" t="str">
            <v>SO-NEL258-260130R</v>
          </cell>
          <cell r="D90">
            <v>46167</v>
          </cell>
          <cell r="F90">
            <v>46204</v>
          </cell>
          <cell r="G90" t="str">
            <v/>
          </cell>
          <cell r="I90" t="e">
            <v>#N/A</v>
          </cell>
        </row>
        <row r="91">
          <cell r="B91" t="str">
            <v>PO-NE129-260123K</v>
          </cell>
          <cell r="C91" t="str">
            <v>SO-NE258-260137R</v>
          </cell>
          <cell r="D91">
            <v>46167</v>
          </cell>
          <cell r="F91">
            <v>46169</v>
          </cell>
          <cell r="G91" t="str">
            <v/>
          </cell>
          <cell r="I91" t="e">
            <v>#N/A</v>
          </cell>
        </row>
        <row r="92">
          <cell r="B92" t="str">
            <v>PO-NEL130-260120K</v>
          </cell>
          <cell r="C92" t="str">
            <v>SO-NEL258-260125R</v>
          </cell>
          <cell r="D92">
            <v>46167</v>
          </cell>
          <cell r="F92">
            <v>46169</v>
          </cell>
          <cell r="G92" t="str">
            <v/>
          </cell>
          <cell r="I92" t="e">
            <v>#N/A</v>
          </cell>
        </row>
        <row r="93">
          <cell r="B93" t="str">
            <v>PO-NEL105-260061K</v>
          </cell>
          <cell r="C93" t="str">
            <v>SO-NEL258-260057R</v>
          </cell>
          <cell r="D93">
            <v>46150</v>
          </cell>
          <cell r="E93" t="str">
            <v>FACTURADA</v>
          </cell>
          <cell r="F93" t="str">
            <v>Delivered</v>
          </cell>
          <cell r="G93" t="str">
            <v>INVOICED</v>
          </cell>
          <cell r="I93">
            <v>46149</v>
          </cell>
        </row>
        <row r="94">
          <cell r="B94" t="str">
            <v>PO-NEL105-260072K</v>
          </cell>
          <cell r="C94" t="str">
            <v>SO-NEL258-260058R</v>
          </cell>
          <cell r="D94">
            <v>46150</v>
          </cell>
          <cell r="E94" t="str">
            <v>FACTURADA</v>
          </cell>
          <cell r="F94" t="str">
            <v>Delivered</v>
          </cell>
          <cell r="G94" t="str">
            <v>INVOICED</v>
          </cell>
          <cell r="I94">
            <v>46153</v>
          </cell>
        </row>
        <row r="95">
          <cell r="B95" t="str">
            <v>PO-NEL130-260067K</v>
          </cell>
          <cell r="C95" t="str">
            <v>SO-NEL258-260043R</v>
          </cell>
          <cell r="D95">
            <v>46149</v>
          </cell>
          <cell r="E95" t="str">
            <v>FACTURADA</v>
          </cell>
          <cell r="F95" t="str">
            <v>Delivered</v>
          </cell>
          <cell r="G95" t="str">
            <v>INVOICED</v>
          </cell>
          <cell r="I95">
            <v>46148</v>
          </cell>
        </row>
        <row r="96">
          <cell r="B96" t="str">
            <v>PO-NEL130-260065K</v>
          </cell>
          <cell r="C96" t="str">
            <v>SO-NEL258-260047R</v>
          </cell>
          <cell r="D96">
            <v>46149</v>
          </cell>
          <cell r="E96" t="str">
            <v>FACTURADA</v>
          </cell>
          <cell r="F96" t="str">
            <v>Delivered</v>
          </cell>
          <cell r="G96" t="str">
            <v>INVOICED</v>
          </cell>
          <cell r="I96">
            <v>46153</v>
          </cell>
        </row>
        <row r="97">
          <cell r="B97" t="str">
            <v>PO-NEL130-260069K</v>
          </cell>
          <cell r="C97" t="str">
            <v>SO-NEL258-260044R</v>
          </cell>
          <cell r="D97">
            <v>46149</v>
          </cell>
          <cell r="E97" t="str">
            <v>FACTURADA</v>
          </cell>
          <cell r="F97" t="str">
            <v>Delivered</v>
          </cell>
          <cell r="G97" t="str">
            <v>INVOICED</v>
          </cell>
          <cell r="I97">
            <v>46153</v>
          </cell>
        </row>
        <row r="98">
          <cell r="B98" t="str">
            <v>PO-2026-0054</v>
          </cell>
          <cell r="C98" t="str">
            <v>SO-NEL258-260042R</v>
          </cell>
          <cell r="D98">
            <v>46149</v>
          </cell>
          <cell r="E98" t="str">
            <v>FACTURADA</v>
          </cell>
          <cell r="F98" t="str">
            <v>Delivered</v>
          </cell>
          <cell r="G98" t="str">
            <v>INVOICED</v>
          </cell>
          <cell r="I98">
            <v>46148</v>
          </cell>
        </row>
        <row r="99">
          <cell r="B99" t="str">
            <v>PO-2026-0048 / 1</v>
          </cell>
          <cell r="C99" t="str">
            <v>SO-NEL236-260038R</v>
          </cell>
          <cell r="D99">
            <v>46149</v>
          </cell>
          <cell r="E99" t="str">
            <v>FACTURADA</v>
          </cell>
          <cell r="F99" t="str">
            <v>Delivered</v>
          </cell>
          <cell r="G99" t="str">
            <v>INVOICED</v>
          </cell>
          <cell r="I99">
            <v>46149</v>
          </cell>
        </row>
        <row r="100">
          <cell r="B100" t="str">
            <v>PO-NEL130-260113K</v>
          </cell>
          <cell r="C100" t="str">
            <v>SO-NEL258-260128R</v>
          </cell>
          <cell r="D100">
            <v>46167</v>
          </cell>
          <cell r="F100">
            <v>46169</v>
          </cell>
          <cell r="G100" t="str">
            <v/>
          </cell>
          <cell r="I100" t="e">
            <v>#N/A</v>
          </cell>
        </row>
        <row r="101">
          <cell r="B101" t="str">
            <v>PO-NEL129-260062K</v>
          </cell>
          <cell r="C101" t="str">
            <v>SO-NEL258-260040R2</v>
          </cell>
          <cell r="D101">
            <v>46150</v>
          </cell>
          <cell r="E101" t="str">
            <v>FACTURADA</v>
          </cell>
          <cell r="F101" t="str">
            <v>Delivered</v>
          </cell>
          <cell r="G101" t="str">
            <v>INVOICED</v>
          </cell>
          <cell r="I101">
            <v>46149</v>
          </cell>
        </row>
        <row r="102">
          <cell r="B102" t="str">
            <v>PO-NEL126-260112K</v>
          </cell>
          <cell r="C102" t="str">
            <v>SO-NEL258-260127R</v>
          </cell>
          <cell r="D102">
            <v>46167</v>
          </cell>
          <cell r="F102">
            <v>46169</v>
          </cell>
          <cell r="G102" t="str">
            <v/>
          </cell>
          <cell r="I102" t="e">
            <v>#N/A</v>
          </cell>
        </row>
        <row r="103">
          <cell r="B103" t="str">
            <v>POCA129-260087K</v>
          </cell>
          <cell r="C103" t="str">
            <v>SOCA258-260087R</v>
          </cell>
          <cell r="D103">
            <v>46167</v>
          </cell>
          <cell r="E103" t="str">
            <v xml:space="preserve">CANCELADA </v>
          </cell>
          <cell r="F103">
            <v>46176</v>
          </cell>
          <cell r="G103" t="str">
            <v/>
          </cell>
          <cell r="H103" t="str">
            <v>ESSENTIA BODEGA</v>
          </cell>
          <cell r="I103" t="e">
            <v>#N/A</v>
          </cell>
        </row>
        <row r="104">
          <cell r="B104" t="str">
            <v>POCA116-260084K</v>
          </cell>
          <cell r="C104" t="str">
            <v>SOCA258-260069R</v>
          </cell>
          <cell r="D104">
            <v>46167</v>
          </cell>
          <cell r="E104" t="str">
            <v>cambio 25/05</v>
          </cell>
          <cell r="F104" t="e">
            <v>#N/A</v>
          </cell>
          <cell r="G104" t="e">
            <v>#N/A</v>
          </cell>
          <cell r="I104" t="e">
            <v>#N/A</v>
          </cell>
        </row>
        <row r="105">
          <cell r="B105" t="str">
            <v>PO-HOU129-260138K</v>
          </cell>
          <cell r="C105" t="str">
            <v>SO-BHOU258-260150R</v>
          </cell>
          <cell r="D105">
            <v>46167</v>
          </cell>
          <cell r="F105">
            <v>46169</v>
          </cell>
          <cell r="G105" t="str">
            <v/>
          </cell>
          <cell r="I105" t="str">
            <v/>
          </cell>
        </row>
        <row r="106">
          <cell r="B106" t="str">
            <v>POCAN131-260135K</v>
          </cell>
          <cell r="C106" t="str">
            <v>SOCAN258-260139R</v>
          </cell>
          <cell r="D106">
            <v>46168</v>
          </cell>
          <cell r="F106">
            <v>46168</v>
          </cell>
          <cell r="G106" t="str">
            <v/>
          </cell>
          <cell r="I106">
            <v>46168</v>
          </cell>
        </row>
        <row r="107">
          <cell r="B107" t="str">
            <v>PO-NEL130-260140K</v>
          </cell>
          <cell r="C107" t="str">
            <v>SO-SMNEL258-260155R</v>
          </cell>
          <cell r="D107">
            <v>46170</v>
          </cell>
          <cell r="F107">
            <v>46170</v>
          </cell>
          <cell r="G107" t="str">
            <v/>
          </cell>
          <cell r="I107" t="str">
            <v/>
          </cell>
        </row>
        <row r="108">
          <cell r="B108" t="str">
            <v>PO-NEL130-260141K</v>
          </cell>
          <cell r="C108" t="str">
            <v>SO-SMNEL258-260156R</v>
          </cell>
          <cell r="D108">
            <v>46170</v>
          </cell>
          <cell r="F108">
            <v>46170</v>
          </cell>
          <cell r="G108" t="str">
            <v/>
          </cell>
          <cell r="I108" t="str">
            <v/>
          </cell>
        </row>
        <row r="109">
          <cell r="B109" t="str">
            <v>PO-NEL130-260137K</v>
          </cell>
          <cell r="C109" t="str">
            <v>SO-SMNEL258-260158R</v>
          </cell>
          <cell r="D109">
            <v>46171</v>
          </cell>
          <cell r="F109">
            <v>46170</v>
          </cell>
          <cell r="G109" t="str">
            <v/>
          </cell>
          <cell r="I109" t="str">
            <v/>
          </cell>
        </row>
        <row r="110">
          <cell r="B110" t="str">
            <v>PO-NEL105-260066K</v>
          </cell>
          <cell r="C110" t="str">
            <v>SO-BNEL258-260151R</v>
          </cell>
          <cell r="D110">
            <v>46171</v>
          </cell>
          <cell r="F110">
            <v>46169</v>
          </cell>
          <cell r="G110" t="str">
            <v/>
          </cell>
          <cell r="I110" t="str">
            <v/>
          </cell>
        </row>
        <row r="111">
          <cell r="B111" t="str">
            <v>PO-NEL130-260128K</v>
          </cell>
          <cell r="C111" t="str">
            <v>SO-SMNEL258-260153R</v>
          </cell>
          <cell r="D111">
            <v>46171</v>
          </cell>
          <cell r="F111" t="e">
            <v>#N/A</v>
          </cell>
          <cell r="G111" t="e">
            <v>#N/A</v>
          </cell>
          <cell r="I111" t="e">
            <v>#N/A</v>
          </cell>
        </row>
        <row r="112">
          <cell r="B112" t="str">
            <v>PO-NEL130-260129K</v>
          </cell>
          <cell r="C112" t="str">
            <v>SO-SMNEL258-260154R</v>
          </cell>
          <cell r="D112">
            <v>46171</v>
          </cell>
          <cell r="F112" t="e">
            <v>#N/A</v>
          </cell>
          <cell r="G112" t="e">
            <v>#N/A</v>
          </cell>
          <cell r="I112" t="e">
            <v>#N/A</v>
          </cell>
        </row>
        <row r="113">
          <cell r="B113" t="str">
            <v>PO-HOU129-260138K</v>
          </cell>
          <cell r="C113" t="str">
            <v>SO-BHOU258-260150R</v>
          </cell>
          <cell r="D113">
            <v>46176</v>
          </cell>
          <cell r="F113">
            <v>46169</v>
          </cell>
          <cell r="G113" t="str">
            <v/>
          </cell>
          <cell r="I113" t="str">
            <v/>
          </cell>
        </row>
        <row r="114">
          <cell r="B114" t="str">
            <v>PO-NEL130-260127K</v>
          </cell>
          <cell r="C114" t="str">
            <v>SO-SMNEL258-260158R</v>
          </cell>
          <cell r="D114">
            <v>46176</v>
          </cell>
          <cell r="F114">
            <v>46170</v>
          </cell>
          <cell r="G114" t="str">
            <v/>
          </cell>
          <cell r="I114" t="str">
            <v/>
          </cell>
        </row>
        <row r="115">
          <cell r="B115" t="str">
            <v>PO-NELRDL-260120K</v>
          </cell>
          <cell r="C115" t="str">
            <v>SO-SMNEL258-260158R</v>
          </cell>
          <cell r="D115">
            <v>46176</v>
          </cell>
          <cell r="F115">
            <v>46170</v>
          </cell>
          <cell r="G115" t="str">
            <v/>
          </cell>
          <cell r="I115" t="str">
            <v/>
          </cell>
        </row>
        <row r="116">
          <cell r="B116" t="str">
            <v>PO-NEL130-260137K</v>
          </cell>
          <cell r="C116" t="str">
            <v>SO-SMNEL258-260158R</v>
          </cell>
          <cell r="D116">
            <v>46176</v>
          </cell>
          <cell r="F116">
            <v>46170</v>
          </cell>
          <cell r="G116" t="str">
            <v/>
          </cell>
          <cell r="I116" t="str">
            <v/>
          </cell>
        </row>
        <row r="117">
          <cell r="B117" t="str">
            <v>PO-NEL120-260143K</v>
          </cell>
          <cell r="C117" t="str">
            <v>SO-BNEL258-260161R</v>
          </cell>
          <cell r="D117">
            <v>46176</v>
          </cell>
          <cell r="F117">
            <v>46174</v>
          </cell>
          <cell r="G117" t="str">
            <v/>
          </cell>
          <cell r="I117" t="str">
            <v/>
          </cell>
        </row>
        <row r="118">
          <cell r="B118" t="str">
            <v>PO-NEL130-260142K</v>
          </cell>
          <cell r="C118" t="str">
            <v>SO-SMNEL258-260160R</v>
          </cell>
          <cell r="D118">
            <v>46177</v>
          </cell>
          <cell r="F118" t="e">
            <v>#N/A</v>
          </cell>
          <cell r="G118" t="e">
            <v>#N/A</v>
          </cell>
          <cell r="I118" t="e">
            <v>#N/A</v>
          </cell>
        </row>
        <row r="119">
          <cell r="B119" t="str">
            <v>PO-NE129-260151K</v>
          </cell>
          <cell r="C119" t="str">
            <v>SO-BNE258-0171R</v>
          </cell>
          <cell r="D119">
            <v>46188</v>
          </cell>
          <cell r="E119" t="str">
            <v>Orden activa 19/05</v>
          </cell>
          <cell r="F119" t="e">
            <v>#N/A</v>
          </cell>
          <cell r="G119" t="e">
            <v>#N/A</v>
          </cell>
          <cell r="I119" t="e">
            <v>#N/A</v>
          </cell>
        </row>
        <row r="120">
          <cell r="B120" t="str">
            <v>POCAN131-260146K</v>
          </cell>
          <cell r="C120" t="str">
            <v xml:space="preserve">SOSMCAN258-0174R </v>
          </cell>
          <cell r="D120">
            <v>46204</v>
          </cell>
          <cell r="F120" t="e">
            <v>#N/A</v>
          </cell>
          <cell r="G120" t="e">
            <v>#N/A</v>
          </cell>
          <cell r="H120" t="str">
            <v>NUTELLA PEANUT</v>
          </cell>
          <cell r="I120" t="e">
            <v>#N/A</v>
          </cell>
        </row>
        <row r="121">
          <cell r="B121" t="str">
            <v>POCAN131-260147K</v>
          </cell>
          <cell r="C121" t="str">
            <v>SOSMCAN258-0175R</v>
          </cell>
          <cell r="D121">
            <v>46204</v>
          </cell>
          <cell r="F121" t="e">
            <v>#N/A</v>
          </cell>
          <cell r="G121" t="e">
            <v>#N/A</v>
          </cell>
          <cell r="H121" t="str">
            <v>NUTELLA PEANUT</v>
          </cell>
          <cell r="I121" t="e">
            <v>#N/A</v>
          </cell>
        </row>
        <row r="122">
          <cell r="B122" t="str">
            <v>POCAN131-260148K</v>
          </cell>
          <cell r="C122" t="str">
            <v>SOSMCAN258-0176R</v>
          </cell>
          <cell r="D122">
            <v>46204</v>
          </cell>
          <cell r="F122" t="e">
            <v>#N/A</v>
          </cell>
          <cell r="G122" t="e">
            <v>#N/A</v>
          </cell>
          <cell r="H122" t="str">
            <v>NUTELLA PEANUT</v>
          </cell>
          <cell r="I122" t="e">
            <v>#N/A</v>
          </cell>
        </row>
        <row r="123">
          <cell r="B123" t="str">
            <v>PO-NJ0134-260149K</v>
          </cell>
          <cell r="C123" t="str">
            <v>SO-SMNEL258-0178R</v>
          </cell>
          <cell r="D123">
            <v>46204</v>
          </cell>
          <cell r="F123" t="e">
            <v>#N/A</v>
          </cell>
          <cell r="G123" t="e">
            <v>#N/A</v>
          </cell>
          <cell r="H123" t="str">
            <v>NUTELLA PEANUT</v>
          </cell>
          <cell r="I123" t="e">
            <v>#N/A</v>
          </cell>
        </row>
        <row r="124">
          <cell r="B124" t="str">
            <v>PO-HOU134-260150K</v>
          </cell>
          <cell r="C124" t="str">
            <v>SOSMCAN258-0177R</v>
          </cell>
          <cell r="D124">
            <v>46204</v>
          </cell>
          <cell r="F124" t="e">
            <v>#N/A</v>
          </cell>
          <cell r="G124" t="e">
            <v>#N/A</v>
          </cell>
          <cell r="H124" t="str">
            <v>NUTELLA PEANUT</v>
          </cell>
          <cell r="I124" t="e">
            <v>#N/A</v>
          </cell>
        </row>
        <row r="125">
          <cell r="B125" t="str">
            <v>PO-HOU112-260077K-2</v>
          </cell>
          <cell r="D125">
            <v>46216</v>
          </cell>
          <cell r="E125" t="str">
            <v>FERRARA HALLOWEEN</v>
          </cell>
          <cell r="F125" t="e">
            <v>#N/A</v>
          </cell>
          <cell r="I125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"/>
      <sheetName val="IN WHS"/>
      <sheetName val="LT OUT WHS"/>
      <sheetName val="FILL RATE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BA1B1-42CD-44C6-AE04-2D8ED92C8FC0}" name="Table1" displayName="Table1" ref="A1:L68" totalsRowShown="0" headerRowDxfId="47" dataDxfId="46">
  <autoFilter ref="A1:L68" xr:uid="{019BA1B1-42CD-44C6-AE04-2D8ED92C8FC0}"/>
  <sortState xmlns:xlrd2="http://schemas.microsoft.com/office/spreadsheetml/2017/richdata2" ref="A3:L64">
    <sortCondition descending="1" ref="I1:I64"/>
  </sortState>
  <tableColumns count="12">
    <tableColumn id="2" xr3:uid="{C1B1DF03-7416-41B4-9EB2-F149AA62B7A5}" name="PO Order number" dataDxfId="45"/>
    <tableColumn id="1" xr3:uid="{B09CCCFF-DE2E-4B67-8982-FAD8E3AD29A9}" name="Order number" dataDxfId="44"/>
    <tableColumn id="3" xr3:uid="{36420B57-B002-421C-BE0C-D297EC029E9A}" name="Customer" dataDxfId="43"/>
    <tableColumn id="4" xr3:uid="{980C10CC-8BFB-4A54-9198-49DCD0BFEED7}" name="Business Unit " dataDxfId="42"/>
    <tableColumn id="6" xr3:uid="{B6A1B5FA-2ECF-40DC-8046-BF760DE5A2D9}" name="Stage" dataDxfId="41"/>
    <tableColumn id="7" xr3:uid="{ECD96E5A-2F3F-4CA8-9308-ADBCD05BD417}" name="Distribution center" dataDxfId="40"/>
    <tableColumn id="14" xr3:uid="{1CCD7B3D-46F4-4FF3-A42F-C97868FF9BE0}" name="Activation date" dataDxfId="39"/>
    <tableColumn id="23" xr3:uid="{FA0DDE6B-DF83-4459-86D8-5D4D9A15D5B5}" name="Column3" dataDxfId="38"/>
    <tableColumn id="22" xr3:uid="{D341EE7C-794E-43F8-8D81-15D4F91714E9}" name="ACT DAYS" dataDxfId="37">
      <calculatedColumnFormula>NETWORKDAYS.INTL(Table1[[#This Row],[Activation date]],Table1[[#This Row],[Column3]],1)</calculatedColumnFormula>
    </tableColumn>
    <tableColumn id="16" xr3:uid="{0E1A4342-A5A2-4A08-B8E5-CCF174A032BB}" name="ETA" dataDxfId="36">
      <calculatedColumnFormula>VLOOKUP(Table1[[#This Row],[PO Order number]],[1]Sheet1!$B$1:$I$125,5,FALSE)</calculatedColumnFormula>
    </tableColumn>
    <tableColumn id="21" xr3:uid="{A5C81B19-DDA3-4983-9B84-A1B9478C1A16}" name="Comments KLEOS" dataDxfId="35">
      <calculatedColumnFormula>VLOOKUP(Table1[[#This Row],[PO Order number]],[2]!Table1[#All],11,FALSE)</calculatedColumnFormula>
    </tableColumn>
    <tableColumn id="5" xr3:uid="{47FA089E-B4F1-4BB2-9D77-11B2A9066C6F}" name="Comments Appointments " dataDxfId="34">
      <calculatedColumnFormula>VLOOKUP(Table1[[#This Row],[PO Order number]],[1]Sheet1!$B$1:$I$125,6,FALSE)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C6A69-5BBC-4985-8B63-2A0558A05A72}" name="Table2" displayName="Table2" ref="A1:J30" totalsRowShown="0" headerRowDxfId="59" dataDxfId="58">
  <autoFilter ref="A1:J30" xr:uid="{5C5C6A69-5BBC-4985-8B63-2A0558A05A72}"/>
  <sortState xmlns:xlrd2="http://schemas.microsoft.com/office/spreadsheetml/2017/richdata2" ref="A2:J30">
    <sortCondition ref="D1:D30"/>
  </sortState>
  <tableColumns count="10">
    <tableColumn id="2" xr3:uid="{5F7511B0-4E7F-4779-BBEB-0F4D1CCCF175}" name="Order number" dataDxfId="57"/>
    <tableColumn id="3" xr3:uid="{0DD72E07-4B2E-432D-8441-2F332E1359C1}" name="Customer" dataDxfId="56"/>
    <tableColumn id="4" xr3:uid="{3393B12D-FC82-4200-B23E-E6E7A69275DC}" name="Business Unit " dataDxfId="55"/>
    <tableColumn id="6" xr3:uid="{3155CFF6-3B5C-445C-BA71-4ABB58743F95}" name="Stage" dataDxfId="54"/>
    <tableColumn id="7" xr3:uid="{872DDB78-19F2-429F-96E0-4156C313E4B3}" name="Distribution center" dataDxfId="53"/>
    <tableColumn id="12" xr3:uid="{BF92A69A-EF25-494C-9D1D-68C8435E659F}" name="Value fill rate" dataDxfId="52"/>
    <tableColumn id="18" xr3:uid="{4D7A1DB0-E9BE-4746-B545-C9E0EDFEA4DD}" name="Inbound Date " dataDxfId="51"/>
    <tableColumn id="23" xr3:uid="{9268C563-52D2-4733-A883-E1A2247F420B}" name="Column3" dataDxfId="50">
      <calculatedColumnFormula>TODAY()</calculatedColumnFormula>
    </tableColumn>
    <tableColumn id="22" xr3:uid="{C560571E-CD08-4AC0-88C8-1B0EAF86C2DC}" name="DAYS IN WHS " dataDxfId="49">
      <calculatedColumnFormula>_xlfn.DAYS(Table2[[#This Row],[Column3]],Table2[[#This Row],[Inbound Date ]])</calculatedColumnFormula>
    </tableColumn>
    <tableColumn id="21" xr3:uid="{64DB224B-7A7D-4F93-A711-A005B1820AEB}" name="Commnets  OUT  WHS" dataDxfId="4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327E5B-C1D2-4571-9C7A-8D54F93FB338}" name="Table3" displayName="Table3" ref="A1:J35" totalsRowShown="0" headerRowDxfId="33" dataDxfId="32">
  <autoFilter ref="A1:J35" xr:uid="{5C327E5B-C1D2-4571-9C7A-8D54F93FB338}">
    <filterColumn colId="8">
      <filters>
        <dateGroupItem year="2026" month="5" day="12" dateTimeGrouping="day"/>
        <dateGroupItem year="2026" month="5" day="13" dateTimeGrouping="day"/>
        <dateGroupItem year="2026" month="5" day="14" dateTimeGrouping="day"/>
        <dateGroupItem year="2026" month="5" day="15" dateTimeGrouping="day"/>
      </filters>
    </filterColumn>
  </autoFilter>
  <tableColumns count="10">
    <tableColumn id="1" xr3:uid="{9FEA23DB-B59A-4D76-932E-6B02B6FA4FB8}" name="Order Type" dataDxfId="31" totalsRowDxfId="30"/>
    <tableColumn id="2" xr3:uid="{CBE6423E-90FA-485A-8575-FE77C47B8CA9}" name="Stage" dataDxfId="29" totalsRowDxfId="28"/>
    <tableColumn id="3" xr3:uid="{4F99136E-030A-4E25-AAC2-463E74C6622C}" name="Order Number" dataDxfId="27" totalsRowDxfId="26"/>
    <tableColumn id="4" xr3:uid="{4828CF94-497D-4803-98D9-29F2D46C8FF1}" name="Business Unit" dataDxfId="25" totalsRowDxfId="24"/>
    <tableColumn id="5" xr3:uid="{130619D5-AC5D-4F64-8C56-9F754079E554}" name="Customer" dataDxfId="23" totalsRowDxfId="22"/>
    <tableColumn id="6" xr3:uid="{431B8AEF-EB4F-4597-9F7F-60C537B7F746}" name="Delivery Place" dataDxfId="21" totalsRowDxfId="20"/>
    <tableColumn id="8" xr3:uid="{76E1E902-E5FC-425E-83DC-F212C3591375}" name="Value Fill Rate" dataDxfId="19" totalsRowDxfId="18"/>
    <tableColumn id="9" xr3:uid="{8CB06A96-6E03-405C-83BB-11E04B073C72}" name="Inbound Date" dataDxfId="17" totalsRowDxfId="16"/>
    <tableColumn id="10" xr3:uid="{7BA64F24-A4EC-497D-A608-DE7212D41C29}" name="Out of Warehouse" dataDxfId="15" totalsRowDxfId="14"/>
    <tableColumn id="11" xr3:uid="{E96A4373-63E8-4FB2-A41A-80BB240923DF}" name="DAYS IN WHS" dataDxfId="13" totalsRowDxfId="12">
      <calculatedColumnFormula>_xlfn.DAYS(Table3[[#This Row],[Out of Warehouse]],Table3[[#This Row],[Inbound Date]])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0596F7-2272-415E-BE08-105D371E540F}" name="Table4" displayName="Table4" ref="A1:H31" totalsRowShown="0" headerRowDxfId="11">
  <autoFilter ref="A1:H31" xr:uid="{5B0596F7-2272-415E-BE08-105D371E540F}">
    <filterColumn colId="7">
      <filters>
        <dateGroupItem year="2026" month="5" day="13" dateTimeGrouping="day"/>
        <dateGroupItem year="2026" month="5" day="14" dateTimeGrouping="day"/>
        <dateGroupItem year="2026" month="5" day="15" dateTimeGrouping="day"/>
        <dateGroupItem year="2026" month="5" day="19" dateTimeGrouping="day"/>
      </filters>
    </filterColumn>
  </autoFilter>
  <tableColumns count="8">
    <tableColumn id="1" xr3:uid="{964779D1-C26F-47AF-88D0-6A604ED7ECB5}" name="Order Type" dataDxfId="10"/>
    <tableColumn id="2" xr3:uid="{AB5761EE-54D7-4135-8EEB-3D3328BC29AD}" name="Order Number " dataDxfId="9"/>
    <tableColumn id="3" xr3:uid="{804794EC-851D-45DD-A798-D3D8941441E8}" name="Customer " dataDxfId="8"/>
    <tableColumn id="4" xr3:uid="{14179EC4-E1D0-422F-97B5-DB35437EA9AC}" name="Business Unit" dataDxfId="7"/>
    <tableColumn id="5" xr3:uid="{C1BD8C62-0D46-4EA0-8450-20C891189CCC}" name="Stage2" dataDxfId="6"/>
    <tableColumn id="6" xr3:uid="{1A2DC194-9BF4-4855-9409-3F0418E0BB37}" name="Delivery Place" dataDxfId="5"/>
    <tableColumn id="7" xr3:uid="{9A478810-2D1B-4E0A-862D-A94610E9C7DB}" name="Value Fill Rate" dataDxfId="4"/>
    <tableColumn id="8" xr3:uid="{2C873719-A28F-483D-B318-462AC32C40BA}" name="Invoice Dat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en\tenant-dashboard\sales-orders\effa0fb6-550c-4b9a-b602-55949dee6925" TargetMode="External"/><Relationship Id="rId3" Type="http://schemas.openxmlformats.org/officeDocument/2006/relationships/hyperlink" Target="file:///C:\en\tenant-dashboard\sales-orders\fe1a6ef4-d4fa-47d7-b818-cd7c8cb5baea" TargetMode="External"/><Relationship Id="rId7" Type="http://schemas.openxmlformats.org/officeDocument/2006/relationships/hyperlink" Target="file:///C:\en\tenant-dashboard\sales-orders\fe1a6ef4-d4fa-47d7-b818-cd7c8cb5baea" TargetMode="External"/><Relationship Id="rId2" Type="http://schemas.openxmlformats.org/officeDocument/2006/relationships/hyperlink" Target="file:///C:\en\tenant-dashboard\sales-orders\b5c8137d-436c-478b-8c3f-6eee089d2c98" TargetMode="External"/><Relationship Id="rId1" Type="http://schemas.openxmlformats.org/officeDocument/2006/relationships/hyperlink" Target="file:///C:\en\tenant-dashboard\sales-orders\648560f9-1e48-4a97-8fa7-9e19ed84e815" TargetMode="External"/><Relationship Id="rId6" Type="http://schemas.openxmlformats.org/officeDocument/2006/relationships/hyperlink" Target="file:///C:\en\tenant-dashboard\sales-orders\b5c8137d-436c-478b-8c3f-6eee089d2c98" TargetMode="External"/><Relationship Id="rId5" Type="http://schemas.openxmlformats.org/officeDocument/2006/relationships/hyperlink" Target="file:///C:\en\tenant-dashboard\sales-orders\648560f9-1e48-4a97-8fa7-9e19ed84e815" TargetMode="External"/><Relationship Id="rId4" Type="http://schemas.openxmlformats.org/officeDocument/2006/relationships/hyperlink" Target="file:///C:\en\tenant-dashboard\sales-orders\effa0fb6-550c-4b9a-b602-55949dee6925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\en\tenant-dashboard\sales-orders\0a497c40-f67e-4609-a6ad-eb88d0865489" TargetMode="External"/><Relationship Id="rId2" Type="http://schemas.openxmlformats.org/officeDocument/2006/relationships/hyperlink" Target="file:///C:\en\tenant-dashboard\sales-orders\0b3d831c-b5c8-459b-88f9-5de5f7ebb2ff" TargetMode="External"/><Relationship Id="rId1" Type="http://schemas.openxmlformats.org/officeDocument/2006/relationships/hyperlink" Target="file:///C:\en\tenant-dashboard\sales-orders\41a31101-362c-4fdd-8a15-f33f36d1daca" TargetMode="External"/><Relationship Id="rId5" Type="http://schemas.openxmlformats.org/officeDocument/2006/relationships/table" Target="../tables/table2.xml"/><Relationship Id="rId4" Type="http://schemas.openxmlformats.org/officeDocument/2006/relationships/hyperlink" Target="file:///C:\en\tenant-dashboard\sales-orders\7207221c-eebe-47c7-a05a-3b60a8d1b3e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file:///C:\en\tenant-dashboard\sales-orders\0a497c40-f67e-4609-a6ad-eb88d0865489" TargetMode="External"/><Relationship Id="rId7" Type="http://schemas.openxmlformats.org/officeDocument/2006/relationships/hyperlink" Target="file:///C:\en\tenant-dashboard\sales-orders\0a497c40-f67e-4609-a6ad-eb88d0865489" TargetMode="External"/><Relationship Id="rId2" Type="http://schemas.openxmlformats.org/officeDocument/2006/relationships/hyperlink" Target="file:///C:\en\tenant-dashboard\sales-orders\0b3d831c-b5c8-459b-88f9-5de5f7ebb2ff" TargetMode="External"/><Relationship Id="rId1" Type="http://schemas.openxmlformats.org/officeDocument/2006/relationships/hyperlink" Target="file:///C:\en\tenant-dashboard\sales-orders\41a31101-362c-4fdd-8a15-f33f36d1daca" TargetMode="External"/><Relationship Id="rId6" Type="http://schemas.openxmlformats.org/officeDocument/2006/relationships/hyperlink" Target="file:///C:\en\tenant-dashboard\sales-orders\0b3d831c-b5c8-459b-88f9-5de5f7ebb2ff" TargetMode="External"/><Relationship Id="rId5" Type="http://schemas.openxmlformats.org/officeDocument/2006/relationships/hyperlink" Target="file:///C:\en\tenant-dashboard\sales-orders\41a31101-362c-4fdd-8a15-f33f36d1daca" TargetMode="External"/><Relationship Id="rId4" Type="http://schemas.openxmlformats.org/officeDocument/2006/relationships/hyperlink" Target="file:///C:\en\tenant-dashboard\sales-orders\7207221c-eebe-47c7-a05a-3b60a8d1b3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68"/>
  <sheetViews>
    <sheetView topLeftCell="A47" zoomScale="86" zoomScaleNormal="86" workbookViewId="0">
      <selection activeCell="B2" sqref="B2:B68"/>
    </sheetView>
  </sheetViews>
  <sheetFormatPr defaultRowHeight="15.75" x14ac:dyDescent="0.25"/>
  <cols>
    <col min="1" max="1" width="21.5" style="1" customWidth="1"/>
    <col min="2" max="2" width="19.875" style="1" customWidth="1"/>
    <col min="3" max="3" width="18.25" style="1" customWidth="1"/>
    <col min="4" max="4" width="10.75" style="1" customWidth="1"/>
    <col min="5" max="5" width="20.25" style="1" customWidth="1"/>
    <col min="6" max="6" width="15.125" style="1" customWidth="1"/>
    <col min="7" max="7" width="14.5" style="1" customWidth="1"/>
    <col min="8" max="8" width="10.625" style="1" hidden="1" customWidth="1"/>
    <col min="9" max="9" width="13" style="5" customWidth="1"/>
    <col min="10" max="10" width="14" style="1" customWidth="1"/>
    <col min="11" max="11" width="21.25" style="1" customWidth="1"/>
    <col min="12" max="12" width="25.125" style="1" customWidth="1"/>
    <col min="13" max="16384" width="9" style="1"/>
  </cols>
  <sheetData>
    <row r="1" spans="1:12" x14ac:dyDescent="0.25">
      <c r="A1" s="7" t="s">
        <v>257</v>
      </c>
      <c r="B1" s="7" t="s">
        <v>0</v>
      </c>
      <c r="C1" s="7" t="s">
        <v>1</v>
      </c>
      <c r="D1" s="7" t="s">
        <v>34</v>
      </c>
      <c r="E1" s="7" t="s">
        <v>2</v>
      </c>
      <c r="F1" s="7" t="s">
        <v>3</v>
      </c>
      <c r="G1" s="7" t="s">
        <v>5</v>
      </c>
      <c r="H1" s="7" t="s">
        <v>41</v>
      </c>
      <c r="I1" s="6" t="s">
        <v>199</v>
      </c>
      <c r="J1" s="7" t="s">
        <v>6</v>
      </c>
      <c r="K1" s="7" t="s">
        <v>107</v>
      </c>
      <c r="L1" s="7" t="s">
        <v>198</v>
      </c>
    </row>
    <row r="2" spans="1:12" x14ac:dyDescent="0.25">
      <c r="A2" s="24" t="s">
        <v>155</v>
      </c>
      <c r="B2" s="24" t="s">
        <v>155</v>
      </c>
      <c r="C2" s="24" t="s">
        <v>15</v>
      </c>
      <c r="D2" s="33" t="s">
        <v>38</v>
      </c>
      <c r="E2" s="24" t="s">
        <v>11</v>
      </c>
      <c r="F2" s="24" t="s">
        <v>56</v>
      </c>
      <c r="G2" s="2">
        <v>46101</v>
      </c>
      <c r="H2" s="8">
        <f ca="1">TODAY()</f>
        <v>46163</v>
      </c>
      <c r="I2" s="21">
        <f ca="1">NETWORKDAYS.INTL(Table1[[#This Row],[Activation date]],Table1[[#This Row],[Column3]],1)</f>
        <v>45</v>
      </c>
      <c r="J2" s="20">
        <f>VLOOKUP(Table1[[#This Row],[PO Order number]],[1]Sheet1!$B$1:$I$125,5,FALSE)</f>
        <v>46163</v>
      </c>
      <c r="K2" s="24">
        <f>VLOOKUP(Table1[[#This Row],[PO Order number]],[2]!Table1[#All],11,FALSE)</f>
        <v>0</v>
      </c>
      <c r="L2" s="20" t="str">
        <f>VLOOKUP(Table1[[#This Row],[PO Order number]],[1]Sheet1!$B$1:$I$125,6,FALSE)</f>
        <v>APPOINTMENT CONFIRMED</v>
      </c>
    </row>
    <row r="3" spans="1:12" x14ac:dyDescent="0.25">
      <c r="A3" s="11" t="s">
        <v>97</v>
      </c>
      <c r="B3" s="11" t="s">
        <v>97</v>
      </c>
      <c r="C3" s="11" t="s">
        <v>22</v>
      </c>
      <c r="D3" s="11" t="s">
        <v>101</v>
      </c>
      <c r="E3" s="3" t="s">
        <v>11</v>
      </c>
      <c r="F3" s="11" t="s">
        <v>56</v>
      </c>
      <c r="G3" s="13">
        <v>46104</v>
      </c>
      <c r="H3" s="8">
        <f t="shared" ref="H3:H8" ca="1" si="0">TODAY()</f>
        <v>46163</v>
      </c>
      <c r="I3" s="21">
        <f ca="1">NETWORKDAYS.INTL(Table1[[#This Row],[Activation date]],Table1[[#This Row],[Column3]],1)</f>
        <v>44</v>
      </c>
      <c r="J3" s="20" t="e">
        <f>VLOOKUP(Table1[[#This Row],[PO Order number]],[1]Sheet1!$B$1:$I$125,5,FALSE)</f>
        <v>#N/A</v>
      </c>
      <c r="K3" s="24" t="str">
        <f>VLOOKUP(Table1[[#This Row],[PO Order number]],[2]!Table1[#All],11,FALSE)</f>
        <v>NUTELLA PEANUT</v>
      </c>
      <c r="L3" s="20" t="e">
        <f>VLOOKUP(Table1[[#This Row],[PO Order number]],[1]Sheet1!$B$1:$I$125,6,FALSE)</f>
        <v>#N/A</v>
      </c>
    </row>
    <row r="4" spans="1:12" x14ac:dyDescent="0.25">
      <c r="A4" s="11" t="s">
        <v>98</v>
      </c>
      <c r="B4" s="11" t="s">
        <v>98</v>
      </c>
      <c r="C4" s="11" t="s">
        <v>22</v>
      </c>
      <c r="D4" s="11" t="s">
        <v>101</v>
      </c>
      <c r="E4" s="3" t="s">
        <v>11</v>
      </c>
      <c r="F4" s="11" t="s">
        <v>56</v>
      </c>
      <c r="G4" s="13">
        <v>46104</v>
      </c>
      <c r="H4" s="8">
        <f t="shared" ca="1" si="0"/>
        <v>46163</v>
      </c>
      <c r="I4" s="21">
        <f ca="1">NETWORKDAYS.INTL(Table1[[#This Row],[Activation date]],Table1[[#This Row],[Column3]],1)</f>
        <v>44</v>
      </c>
      <c r="J4" s="20" t="e">
        <f>VLOOKUP(Table1[[#This Row],[PO Order number]],[1]Sheet1!$B$1:$I$125,5,FALSE)</f>
        <v>#N/A</v>
      </c>
      <c r="K4" s="24" t="str">
        <f>VLOOKUP(Table1[[#This Row],[PO Order number]],[2]!Table1[#All],11,FALSE)</f>
        <v>NUTELLA PEANUT</v>
      </c>
      <c r="L4" s="20" t="e">
        <f>VLOOKUP(Table1[[#This Row],[PO Order number]],[1]Sheet1!$B$1:$I$125,6,FALSE)</f>
        <v>#N/A</v>
      </c>
    </row>
    <row r="5" spans="1:12" x14ac:dyDescent="0.25">
      <c r="A5" s="11" t="s">
        <v>99</v>
      </c>
      <c r="B5" s="11" t="s">
        <v>99</v>
      </c>
      <c r="C5" s="11" t="s">
        <v>22</v>
      </c>
      <c r="D5" s="11" t="s">
        <v>101</v>
      </c>
      <c r="E5" s="3" t="s">
        <v>11</v>
      </c>
      <c r="F5" s="11" t="s">
        <v>56</v>
      </c>
      <c r="G5" s="13">
        <v>46105</v>
      </c>
      <c r="H5" s="8">
        <f t="shared" ca="1" si="0"/>
        <v>46163</v>
      </c>
      <c r="I5" s="21">
        <f ca="1">NETWORKDAYS.INTL(Table1[[#This Row],[Activation date]],Table1[[#This Row],[Column3]],1)</f>
        <v>43</v>
      </c>
      <c r="J5" s="20" t="e">
        <f>VLOOKUP(Table1[[#This Row],[PO Order number]],[1]Sheet1!$B$1:$I$125,5,FALSE)</f>
        <v>#N/A</v>
      </c>
      <c r="K5" s="24" t="str">
        <f>VLOOKUP(Table1[[#This Row],[PO Order number]],[2]!Table1[#All],11,FALSE)</f>
        <v>NUTELLA PEANUT</v>
      </c>
      <c r="L5" s="20" t="e">
        <f>VLOOKUP(Table1[[#This Row],[PO Order number]],[1]Sheet1!$B$1:$I$125,6,FALSE)</f>
        <v>#N/A</v>
      </c>
    </row>
    <row r="6" spans="1:12" x14ac:dyDescent="0.25">
      <c r="A6" s="11" t="s">
        <v>100</v>
      </c>
      <c r="B6" s="11" t="s">
        <v>100</v>
      </c>
      <c r="C6" s="11" t="s">
        <v>22</v>
      </c>
      <c r="D6" s="11" t="s">
        <v>101</v>
      </c>
      <c r="E6" s="3" t="s">
        <v>11</v>
      </c>
      <c r="F6" s="11" t="s">
        <v>56</v>
      </c>
      <c r="G6" s="13">
        <v>46105</v>
      </c>
      <c r="H6" s="8">
        <f t="shared" ca="1" si="0"/>
        <v>46163</v>
      </c>
      <c r="I6" s="21">
        <f ca="1">NETWORKDAYS.INTL(Table1[[#This Row],[Activation date]],Table1[[#This Row],[Column3]],1)</f>
        <v>43</v>
      </c>
      <c r="J6" s="20" t="e">
        <f>VLOOKUP(Table1[[#This Row],[PO Order number]],[1]Sheet1!$B$1:$I$125,5,FALSE)</f>
        <v>#N/A</v>
      </c>
      <c r="K6" s="24" t="str">
        <f>VLOOKUP(Table1[[#This Row],[PO Order number]],[2]!Table1[#All],11,FALSE)</f>
        <v>NUTELLA PEANUT</v>
      </c>
      <c r="L6" s="20" t="e">
        <f>VLOOKUP(Table1[[#This Row],[PO Order number]],[1]Sheet1!$B$1:$I$125,6,FALSE)</f>
        <v>#N/A</v>
      </c>
    </row>
    <row r="7" spans="1:12" x14ac:dyDescent="0.25">
      <c r="A7" s="24" t="s">
        <v>156</v>
      </c>
      <c r="B7" s="24" t="s">
        <v>156</v>
      </c>
      <c r="C7" s="24" t="s">
        <v>15</v>
      </c>
      <c r="D7" s="33" t="s">
        <v>38</v>
      </c>
      <c r="E7" s="24" t="s">
        <v>11</v>
      </c>
      <c r="F7" s="24" t="s">
        <v>56</v>
      </c>
      <c r="G7" s="2">
        <v>46106</v>
      </c>
      <c r="H7" s="8">
        <f t="shared" ca="1" si="0"/>
        <v>46163</v>
      </c>
      <c r="I7" s="21">
        <f ca="1">NETWORKDAYS.INTL(Table1[[#This Row],[Activation date]],Table1[[#This Row],[Column3]],1)</f>
        <v>42</v>
      </c>
      <c r="J7" s="20">
        <f>VLOOKUP(Table1[[#This Row],[PO Order number]],[1]Sheet1!$B$1:$I$125,5,FALSE)</f>
        <v>46163</v>
      </c>
      <c r="K7" s="24">
        <f>VLOOKUP(Table1[[#This Row],[PO Order number]],[2]!Table1[#All],11,FALSE)</f>
        <v>0</v>
      </c>
      <c r="L7" s="20" t="str">
        <f>VLOOKUP(Table1[[#This Row],[PO Order number]],[1]Sheet1!$B$1:$I$125,6,FALSE)</f>
        <v>APPOINTMENT CONFIRMED</v>
      </c>
    </row>
    <row r="8" spans="1:12" x14ac:dyDescent="0.25">
      <c r="A8" s="24" t="s">
        <v>157</v>
      </c>
      <c r="B8" s="24" t="s">
        <v>157</v>
      </c>
      <c r="C8" s="24" t="s">
        <v>15</v>
      </c>
      <c r="D8" s="33" t="s">
        <v>38</v>
      </c>
      <c r="E8" s="24" t="s">
        <v>11</v>
      </c>
      <c r="F8" s="24" t="s">
        <v>56</v>
      </c>
      <c r="G8" s="2">
        <v>46111</v>
      </c>
      <c r="H8" s="8">
        <f t="shared" ca="1" si="0"/>
        <v>46163</v>
      </c>
      <c r="I8" s="21">
        <f ca="1">NETWORKDAYS.INTL(Table1[[#This Row],[Activation date]],Table1[[#This Row],[Column3]],1)</f>
        <v>39</v>
      </c>
      <c r="J8" s="20">
        <f>VLOOKUP(Table1[[#This Row],[PO Order number]],[1]Sheet1!$B$1:$I$125,5,FALSE)</f>
        <v>46164</v>
      </c>
      <c r="K8" s="24" t="str">
        <f>VLOOKUP(Table1[[#This Row],[PO Order number]],[2]!Table1[#All],11,FALSE)</f>
        <v>Cita para mañana</v>
      </c>
      <c r="L8" s="20" t="str">
        <f>VLOOKUP(Table1[[#This Row],[PO Order number]],[1]Sheet1!$B$1:$I$125,6,FALSE)</f>
        <v>ETA CONFIRMED</v>
      </c>
    </row>
    <row r="9" spans="1:12" x14ac:dyDescent="0.25">
      <c r="A9" s="12" t="s">
        <v>84</v>
      </c>
      <c r="B9" s="65" t="s">
        <v>201</v>
      </c>
      <c r="C9" s="3" t="s">
        <v>22</v>
      </c>
      <c r="D9" s="3" t="s">
        <v>36</v>
      </c>
      <c r="E9" s="3" t="s">
        <v>11</v>
      </c>
      <c r="F9" s="3" t="s">
        <v>8</v>
      </c>
      <c r="G9" s="4">
        <v>46113</v>
      </c>
      <c r="H9" s="8">
        <f t="shared" ref="H9" ca="1" si="1">TODAY()</f>
        <v>46163</v>
      </c>
      <c r="I9" s="21">
        <f ca="1">NETWORKDAYS.INTL(Table1[[#This Row],[Activation date]],Table1[[#This Row],[Column3]],1)</f>
        <v>37</v>
      </c>
      <c r="J9" s="20">
        <f>VLOOKUP(Table1[[#This Row],[PO Order number]],[1]Sheet1!$B$1:$I$125,5,FALSE)</f>
        <v>46204</v>
      </c>
      <c r="K9" s="24" t="str">
        <f>VLOOKUP(Table1[[#This Row],[PO Order number]],[2]!Table1[#All],11,FALSE)</f>
        <v>NUTELLA PEANUT 12 CT</v>
      </c>
      <c r="L9" s="20" t="str">
        <f>VLOOKUP(Table1[[#This Row],[PO Order number]],[1]Sheet1!$B$1:$I$125,6,FALSE)</f>
        <v>APPOINTMENT PENDING</v>
      </c>
    </row>
    <row r="10" spans="1:12" x14ac:dyDescent="0.25">
      <c r="A10" s="24" t="s">
        <v>158</v>
      </c>
      <c r="B10" s="24" t="s">
        <v>158</v>
      </c>
      <c r="C10" s="24" t="s">
        <v>15</v>
      </c>
      <c r="D10" s="33" t="s">
        <v>38</v>
      </c>
      <c r="E10" s="24" t="s">
        <v>11</v>
      </c>
      <c r="F10" s="24" t="s">
        <v>56</v>
      </c>
      <c r="G10" s="2">
        <v>46125</v>
      </c>
      <c r="H10" s="8">
        <f t="shared" ref="H10:H19" ca="1" si="2">TODAY()</f>
        <v>46163</v>
      </c>
      <c r="I10" s="21">
        <f ca="1">NETWORKDAYS.INTL(Table1[[#This Row],[Activation date]],Table1[[#This Row],[Column3]],1)</f>
        <v>29</v>
      </c>
      <c r="J10" s="20">
        <f>VLOOKUP(Table1[[#This Row],[PO Order number]],[1]Sheet1!$B$1:$I$125,5,FALSE)</f>
        <v>46163</v>
      </c>
      <c r="K10" s="24">
        <f>VLOOKUP(Table1[[#This Row],[PO Order number]],[2]!Table1[#All],11,FALSE)</f>
        <v>0</v>
      </c>
      <c r="L10" s="20" t="str">
        <f>VLOOKUP(Table1[[#This Row],[PO Order number]],[1]Sheet1!$B$1:$I$125,6,FALSE)</f>
        <v>APPOINTMENT CONFIRMED</v>
      </c>
    </row>
    <row r="11" spans="1:12" x14ac:dyDescent="0.25">
      <c r="A11" s="12" t="s">
        <v>91</v>
      </c>
      <c r="B11" s="65" t="s">
        <v>202</v>
      </c>
      <c r="C11" s="12" t="s">
        <v>25</v>
      </c>
      <c r="D11" s="12" t="s">
        <v>37</v>
      </c>
      <c r="E11" s="12" t="s">
        <v>11</v>
      </c>
      <c r="F11" s="12" t="s">
        <v>69</v>
      </c>
      <c r="G11" s="13">
        <v>46136</v>
      </c>
      <c r="H11" s="8">
        <f t="shared" ca="1" si="2"/>
        <v>46163</v>
      </c>
      <c r="I11" s="28">
        <f ca="1">NETWORKDAYS.INTL(Table1[[#This Row],[Activation date]],Table1[[#This Row],[Column3]],1)</f>
        <v>20</v>
      </c>
      <c r="J11" s="20" t="e">
        <f>VLOOKUP(Table1[[#This Row],[PO Order number]],[1]Sheet1!$B$1:$I$125,5,FALSE)</f>
        <v>#N/A</v>
      </c>
      <c r="K11" s="24" t="str">
        <f>VLOOKUP(Table1[[#This Row],[PO Order number]],[2]!Table1[#All],11,FALSE)</f>
        <v>Cambio 25/05</v>
      </c>
      <c r="L11" s="20" t="e">
        <f>VLOOKUP(Table1[[#This Row],[PO Order number]],[1]Sheet1!$B$1:$I$125,6,FALSE)</f>
        <v>#N/A</v>
      </c>
    </row>
    <row r="12" spans="1:12" x14ac:dyDescent="0.25">
      <c r="A12" s="12" t="s">
        <v>87</v>
      </c>
      <c r="B12" s="65" t="s">
        <v>203</v>
      </c>
      <c r="C12" s="12" t="s">
        <v>20</v>
      </c>
      <c r="D12" s="12" t="s">
        <v>67</v>
      </c>
      <c r="E12" s="12" t="s">
        <v>11</v>
      </c>
      <c r="F12" s="12" t="s">
        <v>56</v>
      </c>
      <c r="G12" s="13">
        <v>46139</v>
      </c>
      <c r="H12" s="8">
        <f t="shared" ca="1" si="2"/>
        <v>46163</v>
      </c>
      <c r="I12" s="28">
        <f ca="1">NETWORKDAYS.INTL(Table1[[#This Row],[Activation date]],Table1[[#This Row],[Column3]],1)</f>
        <v>19</v>
      </c>
      <c r="J12" s="20">
        <f>VLOOKUP(Table1[[#This Row],[PO Order number]],[1]Sheet1!$B$1:$I$125,5,FALSE)</f>
        <v>46204</v>
      </c>
      <c r="K12" s="24" t="str">
        <f>VLOOKUP(Table1[[#This Row],[PO Order number]],[2]!Table1[#All],11,FALSE)</f>
        <v xml:space="preserve">NUTELLA PEANUT 12 CT </v>
      </c>
      <c r="L12" s="20" t="str">
        <f>VLOOKUP(Table1[[#This Row],[PO Order number]],[1]Sheet1!$B$1:$I$125,6,FALSE)</f>
        <v/>
      </c>
    </row>
    <row r="13" spans="1:12" x14ac:dyDescent="0.25">
      <c r="A13" s="24" t="s">
        <v>88</v>
      </c>
      <c r="B13" s="65" t="s">
        <v>204</v>
      </c>
      <c r="C13" s="12" t="s">
        <v>20</v>
      </c>
      <c r="D13" s="12" t="s">
        <v>68</v>
      </c>
      <c r="E13" s="12" t="s">
        <v>11</v>
      </c>
      <c r="F13" s="12" t="s">
        <v>56</v>
      </c>
      <c r="G13" s="13">
        <v>46139</v>
      </c>
      <c r="H13" s="8">
        <f t="shared" ca="1" si="2"/>
        <v>46163</v>
      </c>
      <c r="I13" s="28">
        <f ca="1">NETWORKDAYS.INTL(Table1[[#This Row],[Activation date]],Table1[[#This Row],[Column3]],1)</f>
        <v>19</v>
      </c>
      <c r="J13" s="20">
        <f>VLOOKUP(Table1[[#This Row],[PO Order number]],[1]Sheet1!$B$1:$I$125,5,FALSE)</f>
        <v>46235</v>
      </c>
      <c r="K13" s="24" t="str">
        <f>VLOOKUP(Table1[[#This Row],[PO Order number]],[2]!Table1[#All],11,FALSE)</f>
        <v xml:space="preserve">NUTELLA PEANUT 15 CT </v>
      </c>
      <c r="L13" s="20" t="str">
        <f>VLOOKUP(Table1[[#This Row],[PO Order number]],[1]Sheet1!$B$1:$I$125,6,FALSE)</f>
        <v>APPOINTMENT PENDING</v>
      </c>
    </row>
    <row r="14" spans="1:12" x14ac:dyDescent="0.25">
      <c r="A14" s="22" t="s">
        <v>105</v>
      </c>
      <c r="B14" s="65" t="s">
        <v>205</v>
      </c>
      <c r="C14" s="22" t="s">
        <v>10</v>
      </c>
      <c r="D14" s="22" t="s">
        <v>37</v>
      </c>
      <c r="E14" s="12" t="s">
        <v>11</v>
      </c>
      <c r="F14" s="22" t="s">
        <v>106</v>
      </c>
      <c r="G14" s="23">
        <v>46140</v>
      </c>
      <c r="H14" s="8">
        <f t="shared" ca="1" si="2"/>
        <v>46163</v>
      </c>
      <c r="I14" s="28">
        <f ca="1">NETWORKDAYS.INTL(Table1[[#This Row],[Activation date]],Table1[[#This Row],[Column3]],1)</f>
        <v>18</v>
      </c>
      <c r="J14" s="20">
        <f>VLOOKUP(Table1[[#This Row],[PO Order number]],[1]Sheet1!$B$1:$I$125,5,FALSE)</f>
        <v>46164</v>
      </c>
      <c r="K14" s="24">
        <f>VLOOKUP(Table1[[#This Row],[PO Order number]],[2]!Table1[#All],11,FALSE)</f>
        <v>0</v>
      </c>
      <c r="L14" s="20" t="str">
        <f>VLOOKUP(Table1[[#This Row],[PO Order number]],[1]Sheet1!$B$1:$I$125,6,FALSE)</f>
        <v>ETA CONFIRMED</v>
      </c>
    </row>
    <row r="15" spans="1:12" x14ac:dyDescent="0.25">
      <c r="A15" s="22" t="s">
        <v>108</v>
      </c>
      <c r="B15" s="65" t="s">
        <v>206</v>
      </c>
      <c r="C15" s="22" t="s">
        <v>17</v>
      </c>
      <c r="D15" s="22" t="s">
        <v>53</v>
      </c>
      <c r="E15" s="12" t="s">
        <v>11</v>
      </c>
      <c r="F15" s="22" t="s">
        <v>69</v>
      </c>
      <c r="G15" s="23">
        <v>46141</v>
      </c>
      <c r="H15" s="8">
        <f t="shared" ca="1" si="2"/>
        <v>46163</v>
      </c>
      <c r="I15" s="28">
        <f ca="1">NETWORKDAYS.INTL(Table1[[#This Row],[Activation date]],Table1[[#This Row],[Column3]],1)</f>
        <v>17</v>
      </c>
      <c r="J15" s="20">
        <f>VLOOKUP(Table1[[#This Row],[PO Order number]],[1]Sheet1!$B$1:$I$125,5,FALSE)</f>
        <v>46176</v>
      </c>
      <c r="K15" s="24" t="str">
        <f>VLOOKUP(Table1[[#This Row],[PO Order number]],[2]!Table1[#All],11,FALSE)</f>
        <v>Essentia CA 01/06</v>
      </c>
      <c r="L15" s="20" t="str">
        <f>VLOOKUP(Table1[[#This Row],[PO Order number]],[1]Sheet1!$B$1:$I$125,6,FALSE)</f>
        <v/>
      </c>
    </row>
    <row r="16" spans="1:12" x14ac:dyDescent="0.25">
      <c r="A16" s="24" t="s">
        <v>111</v>
      </c>
      <c r="B16" s="65" t="s">
        <v>207</v>
      </c>
      <c r="C16" s="24" t="s">
        <v>10</v>
      </c>
      <c r="D16" s="24" t="s">
        <v>119</v>
      </c>
      <c r="E16" s="12" t="s">
        <v>11</v>
      </c>
      <c r="F16" s="24" t="s">
        <v>69</v>
      </c>
      <c r="G16" s="25">
        <v>46142</v>
      </c>
      <c r="H16" s="8">
        <f t="shared" ca="1" si="2"/>
        <v>46163</v>
      </c>
      <c r="I16" s="28">
        <f ca="1">NETWORKDAYS.INTL(Table1[[#This Row],[Activation date]],Table1[[#This Row],[Column3]],1)</f>
        <v>16</v>
      </c>
      <c r="J16" s="20" t="e">
        <f>VLOOKUP(Table1[[#This Row],[PO Order number]],[1]Sheet1!$B$1:$I$125,5,FALSE)</f>
        <v>#N/A</v>
      </c>
      <c r="K16" s="24">
        <f>VLOOKUP(Table1[[#This Row],[PO Order number]],[2]!Table1[#All],11,FALSE)</f>
        <v>46163</v>
      </c>
      <c r="L16" s="20" t="e">
        <f>VLOOKUP(Table1[[#This Row],[PO Order number]],[1]Sheet1!$B$1:$I$125,6,FALSE)</f>
        <v>#N/A</v>
      </c>
    </row>
    <row r="17" spans="1:12" x14ac:dyDescent="0.25">
      <c r="A17" s="24" t="s">
        <v>113</v>
      </c>
      <c r="B17" s="65" t="s">
        <v>208</v>
      </c>
      <c r="C17" s="24" t="s">
        <v>15</v>
      </c>
      <c r="D17" s="24" t="s">
        <v>38</v>
      </c>
      <c r="E17" s="12" t="s">
        <v>11</v>
      </c>
      <c r="F17" s="24" t="s">
        <v>56</v>
      </c>
      <c r="G17" s="25">
        <v>46142</v>
      </c>
      <c r="H17" s="8">
        <f t="shared" ca="1" si="2"/>
        <v>46163</v>
      </c>
      <c r="I17" s="28">
        <f ca="1">NETWORKDAYS.INTL(Table1[[#This Row],[Activation date]],Table1[[#This Row],[Column3]],1)</f>
        <v>16</v>
      </c>
      <c r="J17" s="20">
        <f>VLOOKUP(Table1[[#This Row],[PO Order number]],[1]Sheet1!$B$1:$I$125,5,FALSE)</f>
        <v>46171</v>
      </c>
      <c r="K17" s="24">
        <f>VLOOKUP(Table1[[#This Row],[PO Order number]],[2]!Table1[#All],11,FALSE)</f>
        <v>0</v>
      </c>
      <c r="L17" s="20" t="str">
        <f>VLOOKUP(Table1[[#This Row],[PO Order number]],[1]Sheet1!$B$1:$I$125,6,FALSE)</f>
        <v/>
      </c>
    </row>
    <row r="18" spans="1:12" x14ac:dyDescent="0.25">
      <c r="A18" s="24" t="s">
        <v>143</v>
      </c>
      <c r="B18" s="65" t="s">
        <v>211</v>
      </c>
      <c r="C18" s="24" t="s">
        <v>117</v>
      </c>
      <c r="D18" s="24" t="s">
        <v>145</v>
      </c>
      <c r="E18" s="24" t="s">
        <v>11</v>
      </c>
      <c r="F18" s="24" t="s">
        <v>40</v>
      </c>
      <c r="G18" s="25">
        <v>46142</v>
      </c>
      <c r="H18" s="8">
        <f t="shared" ca="1" si="2"/>
        <v>46163</v>
      </c>
      <c r="I18" s="28">
        <f ca="1">NETWORKDAYS.INTL(Table1[[#This Row],[Activation date]],Table1[[#This Row],[Column3]],1)</f>
        <v>16</v>
      </c>
      <c r="J18" s="20" t="e">
        <f>VLOOKUP(Table1[[#This Row],[PO Order number]],[1]Sheet1!$B$1:$I$125,5,FALSE)</f>
        <v>#N/A</v>
      </c>
      <c r="K18" s="24" t="str">
        <f>VLOOKUP(Table1[[#This Row],[PO Order number]],[2]!Table1[#All],11,FALSE)</f>
        <v xml:space="preserve">Proceso nuevo </v>
      </c>
      <c r="L18" s="20" t="e">
        <f>VLOOKUP(Table1[[#This Row],[PO Order number]],[1]Sheet1!$B$1:$I$125,6,FALSE)</f>
        <v>#N/A</v>
      </c>
    </row>
    <row r="19" spans="1:12" x14ac:dyDescent="0.25">
      <c r="A19" s="45" t="s">
        <v>189</v>
      </c>
      <c r="B19" s="65" t="s">
        <v>212</v>
      </c>
      <c r="C19" s="45" t="s">
        <v>18</v>
      </c>
      <c r="D19" s="45" t="s">
        <v>154</v>
      </c>
      <c r="E19" s="24" t="s">
        <v>11</v>
      </c>
      <c r="F19" s="45" t="s">
        <v>40</v>
      </c>
      <c r="G19" s="46">
        <v>46142</v>
      </c>
      <c r="H19" s="8">
        <f t="shared" ca="1" si="2"/>
        <v>46163</v>
      </c>
      <c r="I19" s="28">
        <f ca="1">NETWORKDAYS.INTL(Table1[[#This Row],[Activation date]],Table1[[#This Row],[Column3]],1)</f>
        <v>16</v>
      </c>
      <c r="J19" s="20" t="e">
        <f>VLOOKUP(Table1[[#This Row],[PO Order number]],[1]Sheet1!$B$1:$I$125,5,FALSE)</f>
        <v>#N/A</v>
      </c>
      <c r="K19" s="24" t="str">
        <f>VLOOKUP(Table1[[#This Row],[PO Order number]],[2]!Table1[#All],11,FALSE)</f>
        <v>MID-JUNE</v>
      </c>
      <c r="L19" s="20" t="e">
        <f>VLOOKUP(Table1[[#This Row],[PO Order number]],[1]Sheet1!$B$1:$I$125,6,FALSE)</f>
        <v>#N/A</v>
      </c>
    </row>
    <row r="20" spans="1:12" s="24" customFormat="1" ht="15" x14ac:dyDescent="0.25">
      <c r="A20" s="24" t="s">
        <v>109</v>
      </c>
      <c r="B20" s="65" t="s">
        <v>213</v>
      </c>
      <c r="C20" s="24" t="s">
        <v>25</v>
      </c>
      <c r="D20" s="24" t="s">
        <v>37</v>
      </c>
      <c r="E20" s="12" t="s">
        <v>11</v>
      </c>
      <c r="F20" s="24" t="s">
        <v>69</v>
      </c>
      <c r="G20" s="25">
        <v>46147</v>
      </c>
      <c r="H20" s="8">
        <f ca="1">TODAY()</f>
        <v>46163</v>
      </c>
      <c r="I20" s="28">
        <f ca="1">NETWORKDAYS.INTL(Table1[[#This Row],[Activation date]],Table1[[#This Row],[Column3]],1)</f>
        <v>13</v>
      </c>
      <c r="J20" s="20">
        <f>VLOOKUP(Table1[[#This Row],[PO Order number]],[1]Sheet1!$B$1:$I$125,5,FALSE)</f>
        <v>46174</v>
      </c>
      <c r="K20" s="24">
        <f>VLOOKUP(Table1[[#This Row],[PO Order number]],[2]!Table1[#All],11,FALSE)</f>
        <v>0</v>
      </c>
      <c r="L20" s="20" t="str">
        <f>VLOOKUP(Table1[[#This Row],[PO Order number]],[1]Sheet1!$B$1:$I$125,6,FALSE)</f>
        <v>ETA CONFIRMED</v>
      </c>
    </row>
    <row r="21" spans="1:12" x14ac:dyDescent="0.25">
      <c r="A21" s="24" t="s">
        <v>110</v>
      </c>
      <c r="B21" s="65" t="s">
        <v>214</v>
      </c>
      <c r="C21" s="24" t="s">
        <v>10</v>
      </c>
      <c r="D21" s="24" t="s">
        <v>118</v>
      </c>
      <c r="E21" s="12" t="s">
        <v>11</v>
      </c>
      <c r="F21" s="24" t="s">
        <v>69</v>
      </c>
      <c r="G21" s="25">
        <v>46147</v>
      </c>
      <c r="H21" s="8">
        <f t="shared" ref="H21:H68" ca="1" si="3">TODAY()</f>
        <v>46163</v>
      </c>
      <c r="I21" s="28">
        <f ca="1">NETWORKDAYS.INTL(Table1[[#This Row],[Activation date]],Table1[[#This Row],[Column3]],1)</f>
        <v>13</v>
      </c>
      <c r="J21" s="20">
        <f>VLOOKUP(Table1[[#This Row],[PO Order number]],[1]Sheet1!$B$1:$I$125,5,FALSE)</f>
        <v>46204</v>
      </c>
      <c r="K21" s="24">
        <f>VLOOKUP(Table1[[#This Row],[PO Order number]],[2]!Table1[#All],11,FALSE)</f>
        <v>0</v>
      </c>
      <c r="L21" s="20" t="str">
        <f>VLOOKUP(Table1[[#This Row],[PO Order number]],[1]Sheet1!$B$1:$I$125,6,FALSE)</f>
        <v/>
      </c>
    </row>
    <row r="22" spans="1:12" x14ac:dyDescent="0.25">
      <c r="A22" s="24" t="s">
        <v>114</v>
      </c>
      <c r="B22" s="65" t="s">
        <v>215</v>
      </c>
      <c r="C22" s="24" t="s">
        <v>117</v>
      </c>
      <c r="D22" s="24" t="s">
        <v>120</v>
      </c>
      <c r="E22" s="12" t="s">
        <v>11</v>
      </c>
      <c r="F22" s="24" t="s">
        <v>40</v>
      </c>
      <c r="G22" s="25">
        <v>46147</v>
      </c>
      <c r="H22" s="8">
        <f t="shared" ca="1" si="3"/>
        <v>46163</v>
      </c>
      <c r="I22" s="28">
        <f ca="1">NETWORKDAYS.INTL(Table1[[#This Row],[Activation date]],Table1[[#This Row],[Column3]],1)</f>
        <v>13</v>
      </c>
      <c r="J22" s="20">
        <f>VLOOKUP(Table1[[#This Row],[PO Order number]],[1]Sheet1!$B$1:$I$125,5,FALSE)</f>
        <v>46161</v>
      </c>
      <c r="K22" s="24" t="str">
        <f>VLOOKUP(Table1[[#This Row],[PO Order number]],[2]!Table1[#All],11,FALSE)</f>
        <v>ETA 19/05</v>
      </c>
      <c r="L22" s="20" t="str">
        <f>VLOOKUP(Table1[[#This Row],[PO Order number]],[1]Sheet1!$B$1:$I$125,6,FALSE)</f>
        <v>ETA CONFIRMED</v>
      </c>
    </row>
    <row r="23" spans="1:12" x14ac:dyDescent="0.25">
      <c r="A23" s="24" t="s">
        <v>121</v>
      </c>
      <c r="B23" s="65" t="s">
        <v>216</v>
      </c>
      <c r="C23" s="24" t="s">
        <v>146</v>
      </c>
      <c r="D23" s="24" t="s">
        <v>122</v>
      </c>
      <c r="E23" s="12" t="s">
        <v>11</v>
      </c>
      <c r="F23" s="24" t="s">
        <v>56</v>
      </c>
      <c r="G23" s="25">
        <v>46147</v>
      </c>
      <c r="H23" s="8">
        <f t="shared" ca="1" si="3"/>
        <v>46163</v>
      </c>
      <c r="I23" s="28">
        <f ca="1">NETWORKDAYS.INTL(Table1[[#This Row],[Activation date]],Table1[[#This Row],[Column3]],1)</f>
        <v>13</v>
      </c>
      <c r="J23" s="20">
        <f>VLOOKUP(Table1[[#This Row],[PO Order number]],[1]Sheet1!$B$1:$I$125,5,FALSE)</f>
        <v>46175</v>
      </c>
      <c r="K23" s="24">
        <f>VLOOKUP(Table1[[#This Row],[PO Order number]],[2]!Table1[#All],11,FALSE)</f>
        <v>0</v>
      </c>
      <c r="L23" s="20" t="str">
        <f>VLOOKUP(Table1[[#This Row],[PO Order number]],[1]Sheet1!$B$1:$I$125,6,FALSE)</f>
        <v>ETA CONFIRMED</v>
      </c>
    </row>
    <row r="24" spans="1:12" x14ac:dyDescent="0.25">
      <c r="A24" s="24" t="s">
        <v>132</v>
      </c>
      <c r="B24" s="65" t="s">
        <v>217</v>
      </c>
      <c r="C24" s="24" t="s">
        <v>17</v>
      </c>
      <c r="D24" s="24" t="s">
        <v>38</v>
      </c>
      <c r="E24" s="24" t="s">
        <v>11</v>
      </c>
      <c r="F24" s="24" t="s">
        <v>57</v>
      </c>
      <c r="G24" s="25">
        <v>46148</v>
      </c>
      <c r="H24" s="8">
        <f t="shared" ca="1" si="3"/>
        <v>46163</v>
      </c>
      <c r="I24" s="21">
        <f ca="1">NETWORKDAYS.INTL(Table1[[#This Row],[Activation date]],Table1[[#This Row],[Column3]],1)</f>
        <v>12</v>
      </c>
      <c r="J24" s="20">
        <f>VLOOKUP(Table1[[#This Row],[PO Order number]],[1]Sheet1!$B$1:$I$125,5,FALSE)</f>
        <v>46162</v>
      </c>
      <c r="K24" s="24">
        <f>VLOOKUP(Table1[[#This Row],[PO Order number]],[2]!Table1[#All],11,FALSE)</f>
        <v>0</v>
      </c>
      <c r="L24" s="20" t="str">
        <f>VLOOKUP(Table1[[#This Row],[PO Order number]],[1]Sheet1!$B$1:$I$125,6,FALSE)</f>
        <v>ETA CONFIRMED</v>
      </c>
    </row>
    <row r="25" spans="1:12" x14ac:dyDescent="0.25">
      <c r="A25" s="24" t="s">
        <v>135</v>
      </c>
      <c r="B25" s="65" t="s">
        <v>218</v>
      </c>
      <c r="C25" s="24" t="s">
        <v>17</v>
      </c>
      <c r="D25" s="24" t="s">
        <v>38</v>
      </c>
      <c r="E25" s="24" t="s">
        <v>11</v>
      </c>
      <c r="F25" s="24" t="s">
        <v>69</v>
      </c>
      <c r="G25" s="25">
        <v>46148</v>
      </c>
      <c r="H25" s="8">
        <f t="shared" ca="1" si="3"/>
        <v>46163</v>
      </c>
      <c r="I25" s="21">
        <f ca="1">NETWORKDAYS.INTL(Table1[[#This Row],[Activation date]],Table1[[#This Row],[Column3]],1)</f>
        <v>12</v>
      </c>
      <c r="J25" s="20">
        <f>VLOOKUP(Table1[[#This Row],[PO Order number]],[1]Sheet1!$B$1:$I$125,5,FALSE)</f>
        <v>46163</v>
      </c>
      <c r="K25" s="24">
        <f>VLOOKUP(Table1[[#This Row],[PO Order number]],[2]!Table1[#All],11,FALSE)</f>
        <v>0</v>
      </c>
      <c r="L25" s="20" t="str">
        <f>VLOOKUP(Table1[[#This Row],[PO Order number]],[1]Sheet1!$B$1:$I$125,6,FALSE)</f>
        <v>APPOINTMENT CONFIRMED</v>
      </c>
    </row>
    <row r="26" spans="1:12" x14ac:dyDescent="0.25">
      <c r="A26" s="24" t="s">
        <v>137</v>
      </c>
      <c r="B26" s="65" t="s">
        <v>219</v>
      </c>
      <c r="C26" s="24" t="s">
        <v>17</v>
      </c>
      <c r="D26" s="24" t="s">
        <v>38</v>
      </c>
      <c r="E26" s="24" t="s">
        <v>11</v>
      </c>
      <c r="F26" s="24" t="s">
        <v>69</v>
      </c>
      <c r="G26" s="25">
        <v>46148</v>
      </c>
      <c r="H26" s="8">
        <f t="shared" ca="1" si="3"/>
        <v>46163</v>
      </c>
      <c r="I26" s="21">
        <f ca="1">NETWORKDAYS.INTL(Table1[[#This Row],[Activation date]],Table1[[#This Row],[Column3]],1)</f>
        <v>12</v>
      </c>
      <c r="J26" s="20">
        <f>VLOOKUP(Table1[[#This Row],[PO Order number]],[1]Sheet1!$B$1:$I$125,5,FALSE)</f>
        <v>46171</v>
      </c>
      <c r="K26" s="24">
        <f>VLOOKUP(Table1[[#This Row],[PO Order number]],[2]!Table1[#All],11,FALSE)</f>
        <v>0</v>
      </c>
      <c r="L26" s="20" t="str">
        <f>VLOOKUP(Table1[[#This Row],[PO Order number]],[1]Sheet1!$B$1:$I$125,6,FALSE)</f>
        <v>ETA CONFIRMED</v>
      </c>
    </row>
    <row r="27" spans="1:12" x14ac:dyDescent="0.25">
      <c r="A27" s="24" t="s">
        <v>141</v>
      </c>
      <c r="B27" s="65" t="s">
        <v>220</v>
      </c>
      <c r="C27" s="24" t="s">
        <v>17</v>
      </c>
      <c r="D27" s="24" t="s">
        <v>38</v>
      </c>
      <c r="E27" s="24" t="s">
        <v>11</v>
      </c>
      <c r="F27" s="24" t="s">
        <v>69</v>
      </c>
      <c r="G27" s="25">
        <v>46148</v>
      </c>
      <c r="H27" s="8">
        <f t="shared" ca="1" si="3"/>
        <v>46163</v>
      </c>
      <c r="I27" s="21">
        <f ca="1">NETWORKDAYS.INTL(Table1[[#This Row],[Activation date]],Table1[[#This Row],[Column3]],1)</f>
        <v>12</v>
      </c>
      <c r="J27" s="20">
        <f>VLOOKUP(Table1[[#This Row],[PO Order number]],[1]Sheet1!$B$1:$I$125,5,FALSE)</f>
        <v>46163</v>
      </c>
      <c r="K27" s="24">
        <f>VLOOKUP(Table1[[#This Row],[PO Order number]],[2]!Table1[#All],11,FALSE)</f>
        <v>0</v>
      </c>
      <c r="L27" s="20" t="str">
        <f>VLOOKUP(Table1[[#This Row],[PO Order number]],[1]Sheet1!$B$1:$I$125,6,FALSE)</f>
        <v/>
      </c>
    </row>
    <row r="28" spans="1:12" x14ac:dyDescent="0.25">
      <c r="A28" s="24" t="s">
        <v>144</v>
      </c>
      <c r="B28" s="65" t="s">
        <v>221</v>
      </c>
      <c r="C28" s="24" t="s">
        <v>17</v>
      </c>
      <c r="D28" s="24" t="s">
        <v>53</v>
      </c>
      <c r="E28" s="24" t="s">
        <v>11</v>
      </c>
      <c r="F28" s="24" t="s">
        <v>57</v>
      </c>
      <c r="G28" s="25">
        <v>46148</v>
      </c>
      <c r="H28" s="8">
        <f t="shared" ca="1" si="3"/>
        <v>46163</v>
      </c>
      <c r="I28" s="21">
        <f ca="1">NETWORKDAYS.INTL(Table1[[#This Row],[Activation date]],Table1[[#This Row],[Column3]],1)</f>
        <v>12</v>
      </c>
      <c r="J28" s="20">
        <f>VLOOKUP(Table1[[#This Row],[PO Order number]],[1]Sheet1!$B$1:$I$125,5,FALSE)</f>
        <v>46163</v>
      </c>
      <c r="K28" s="24">
        <f>VLOOKUP(Table1[[#This Row],[PO Order number]],[2]!Table1[#All],11,FALSE)</f>
        <v>0</v>
      </c>
      <c r="L28" s="20" t="str">
        <f>VLOOKUP(Table1[[#This Row],[PO Order number]],[1]Sheet1!$B$1:$I$125,6,FALSE)</f>
        <v/>
      </c>
    </row>
    <row r="29" spans="1:12" x14ac:dyDescent="0.25">
      <c r="A29" s="24" t="s">
        <v>116</v>
      </c>
      <c r="B29" s="65" t="s">
        <v>222</v>
      </c>
      <c r="C29" s="24" t="s">
        <v>117</v>
      </c>
      <c r="D29" s="24" t="s">
        <v>35</v>
      </c>
      <c r="E29" s="12" t="s">
        <v>11</v>
      </c>
      <c r="F29" s="24" t="s">
        <v>40</v>
      </c>
      <c r="G29" s="25">
        <v>46149</v>
      </c>
      <c r="H29" s="8">
        <f t="shared" ca="1" si="3"/>
        <v>46163</v>
      </c>
      <c r="I29" s="21">
        <f ca="1">NETWORKDAYS.INTL(Table1[[#This Row],[Activation date]],Table1[[#This Row],[Column3]],1)</f>
        <v>11</v>
      </c>
      <c r="J29" s="20">
        <f>VLOOKUP(Table1[[#This Row],[PO Order number]],[1]Sheet1!$B$1:$I$125,5,FALSE)</f>
        <v>46163</v>
      </c>
      <c r="K29" s="24">
        <f>VLOOKUP(Table1[[#This Row],[PO Order number]],[2]!Table1[#All],11,FALSE)</f>
        <v>0</v>
      </c>
      <c r="L29" s="20" t="str">
        <f>VLOOKUP(Table1[[#This Row],[PO Order number]],[1]Sheet1!$B$1:$I$125,6,FALSE)</f>
        <v/>
      </c>
    </row>
    <row r="30" spans="1:12" x14ac:dyDescent="0.25">
      <c r="A30" s="24" t="s">
        <v>123</v>
      </c>
      <c r="B30" s="65" t="s">
        <v>223</v>
      </c>
      <c r="C30" s="24" t="s">
        <v>147</v>
      </c>
      <c r="D30" s="24" t="s">
        <v>36</v>
      </c>
      <c r="E30" s="12" t="s">
        <v>11</v>
      </c>
      <c r="F30" s="24" t="s">
        <v>56</v>
      </c>
      <c r="G30" s="25">
        <v>46149</v>
      </c>
      <c r="H30" s="8">
        <f t="shared" ca="1" si="3"/>
        <v>46163</v>
      </c>
      <c r="I30" s="21">
        <f ca="1">NETWORKDAYS.INTL(Table1[[#This Row],[Activation date]],Table1[[#This Row],[Column3]],1)</f>
        <v>11</v>
      </c>
      <c r="J30" s="20">
        <f>VLOOKUP(Table1[[#This Row],[PO Order number]],[1]Sheet1!$B$1:$I$125,5,FALSE)</f>
        <v>46164</v>
      </c>
      <c r="K30" s="24">
        <f>VLOOKUP(Table1[[#This Row],[PO Order number]],[2]!Table1[#All],11,FALSE)</f>
        <v>0</v>
      </c>
      <c r="L30" s="20" t="str">
        <f>VLOOKUP(Table1[[#This Row],[PO Order number]],[1]Sheet1!$B$1:$I$125,6,FALSE)</f>
        <v/>
      </c>
    </row>
    <row r="31" spans="1:12" x14ac:dyDescent="0.25">
      <c r="A31" s="24" t="s">
        <v>116</v>
      </c>
      <c r="B31" s="65" t="s">
        <v>222</v>
      </c>
      <c r="C31" s="27" t="s">
        <v>117</v>
      </c>
      <c r="D31" s="24" t="s">
        <v>35</v>
      </c>
      <c r="E31" s="24" t="s">
        <v>11</v>
      </c>
      <c r="F31" s="27" t="s">
        <v>40</v>
      </c>
      <c r="G31" s="25">
        <v>46149</v>
      </c>
      <c r="H31" s="8">
        <f t="shared" ca="1" si="3"/>
        <v>46163</v>
      </c>
      <c r="I31" s="21">
        <f ca="1">NETWORKDAYS.INTL(Table1[[#This Row],[Activation date]],Table1[[#This Row],[Column3]],1)</f>
        <v>11</v>
      </c>
      <c r="J31" s="20">
        <f>VLOOKUP(Table1[[#This Row],[PO Order number]],[1]Sheet1!$B$1:$I$125,5,FALSE)</f>
        <v>46163</v>
      </c>
      <c r="K31" s="24">
        <f>VLOOKUP(Table1[[#This Row],[PO Order number]],[2]!Table1[#All],11,FALSE)</f>
        <v>0</v>
      </c>
      <c r="L31" s="20" t="str">
        <f>VLOOKUP(Table1[[#This Row],[PO Order number]],[1]Sheet1!$B$1:$I$125,6,FALSE)</f>
        <v/>
      </c>
    </row>
    <row r="32" spans="1:12" x14ac:dyDescent="0.25">
      <c r="A32" s="24" t="s">
        <v>142</v>
      </c>
      <c r="B32" s="65" t="s">
        <v>224</v>
      </c>
      <c r="C32" s="24" t="s">
        <v>17</v>
      </c>
      <c r="D32" s="24" t="s">
        <v>38</v>
      </c>
      <c r="E32" s="24" t="s">
        <v>11</v>
      </c>
      <c r="F32" s="24" t="s">
        <v>56</v>
      </c>
      <c r="G32" s="25">
        <v>46149</v>
      </c>
      <c r="H32" s="8">
        <f t="shared" ca="1" si="3"/>
        <v>46163</v>
      </c>
      <c r="I32" s="21">
        <f ca="1">NETWORKDAYS.INTL(Table1[[#This Row],[Activation date]],Table1[[#This Row],[Column3]],1)</f>
        <v>11</v>
      </c>
      <c r="J32" s="20">
        <f>VLOOKUP(Table1[[#This Row],[PO Order number]],[1]Sheet1!$B$1:$I$125,5,FALSE)</f>
        <v>46169</v>
      </c>
      <c r="K32" s="24">
        <f>VLOOKUP(Table1[[#This Row],[PO Order number]],[2]!Table1[#All],11,FALSE)</f>
        <v>0</v>
      </c>
      <c r="L32" s="20" t="str">
        <f>VLOOKUP(Table1[[#This Row],[PO Order number]],[1]Sheet1!$B$1:$I$125,6,FALSE)</f>
        <v>ETA CONFIRMED</v>
      </c>
    </row>
    <row r="33" spans="1:12" x14ac:dyDescent="0.25">
      <c r="A33" s="24" t="s">
        <v>136</v>
      </c>
      <c r="B33" s="65" t="s">
        <v>225</v>
      </c>
      <c r="C33" s="24" t="s">
        <v>15</v>
      </c>
      <c r="D33" s="24" t="s">
        <v>38</v>
      </c>
      <c r="E33" s="24" t="s">
        <v>11</v>
      </c>
      <c r="F33" s="24" t="s">
        <v>56</v>
      </c>
      <c r="G33" s="25">
        <v>46150</v>
      </c>
      <c r="H33" s="8">
        <f t="shared" ca="1" si="3"/>
        <v>46163</v>
      </c>
      <c r="I33" s="21">
        <f ca="1">NETWORKDAYS.INTL(Table1[[#This Row],[Activation date]],Table1[[#This Row],[Column3]],1)</f>
        <v>10</v>
      </c>
      <c r="J33" s="20">
        <f>VLOOKUP(Table1[[#This Row],[PO Order number]],[1]Sheet1!$B$1:$I$125,5,FALSE)</f>
        <v>46164</v>
      </c>
      <c r="K33" s="24">
        <f>VLOOKUP(Table1[[#This Row],[PO Order number]],[2]!Table1[#All],11,FALSE)</f>
        <v>0</v>
      </c>
      <c r="L33" s="20" t="str">
        <f>VLOOKUP(Table1[[#This Row],[PO Order number]],[1]Sheet1!$B$1:$I$125,6,FALSE)</f>
        <v/>
      </c>
    </row>
    <row r="34" spans="1:12" x14ac:dyDescent="0.25">
      <c r="A34" s="24" t="s">
        <v>138</v>
      </c>
      <c r="B34" s="65" t="s">
        <v>226</v>
      </c>
      <c r="C34" s="24" t="s">
        <v>15</v>
      </c>
      <c r="D34" s="24" t="s">
        <v>38</v>
      </c>
      <c r="E34" s="24" t="s">
        <v>11</v>
      </c>
      <c r="F34" s="24" t="s">
        <v>56</v>
      </c>
      <c r="G34" s="25">
        <v>46150</v>
      </c>
      <c r="H34" s="8">
        <f t="shared" ca="1" si="3"/>
        <v>46163</v>
      </c>
      <c r="I34" s="21">
        <f ca="1">NETWORKDAYS.INTL(Table1[[#This Row],[Activation date]],Table1[[#This Row],[Column3]],1)</f>
        <v>10</v>
      </c>
      <c r="J34" s="20">
        <f>VLOOKUP(Table1[[#This Row],[PO Order number]],[1]Sheet1!$B$1:$I$125,5,FALSE)</f>
        <v>46169</v>
      </c>
      <c r="K34" s="24">
        <f>VLOOKUP(Table1[[#This Row],[PO Order number]],[2]!Table1[#All],11,FALSE)</f>
        <v>0</v>
      </c>
      <c r="L34" s="20" t="str">
        <f>VLOOKUP(Table1[[#This Row],[PO Order number]],[1]Sheet1!$B$1:$I$125,6,FALSE)</f>
        <v/>
      </c>
    </row>
    <row r="35" spans="1:12" x14ac:dyDescent="0.25">
      <c r="A35" s="24" t="s">
        <v>139</v>
      </c>
      <c r="B35" s="65" t="s">
        <v>227</v>
      </c>
      <c r="C35" s="24" t="s">
        <v>22</v>
      </c>
      <c r="D35" s="24" t="s">
        <v>35</v>
      </c>
      <c r="E35" s="24" t="s">
        <v>11</v>
      </c>
      <c r="F35" s="24" t="s">
        <v>56</v>
      </c>
      <c r="G35" s="25">
        <v>46150</v>
      </c>
      <c r="H35" s="8">
        <f t="shared" ca="1" si="3"/>
        <v>46163</v>
      </c>
      <c r="I35" s="21">
        <f ca="1">NETWORKDAYS.INTL(Table1[[#This Row],[Activation date]],Table1[[#This Row],[Column3]],1)</f>
        <v>10</v>
      </c>
      <c r="J35" s="20">
        <f>VLOOKUP(Table1[[#This Row],[PO Order number]],[1]Sheet1!$B$1:$I$125,5,FALSE)</f>
        <v>46169</v>
      </c>
      <c r="K35" s="24">
        <f>VLOOKUP(Table1[[#This Row],[PO Order number]],[2]!Table1[#All],11,FALSE)</f>
        <v>0</v>
      </c>
      <c r="L35" s="20" t="str">
        <f>VLOOKUP(Table1[[#This Row],[PO Order number]],[1]Sheet1!$B$1:$I$125,6,FALSE)</f>
        <v/>
      </c>
    </row>
    <row r="36" spans="1:12" x14ac:dyDescent="0.25">
      <c r="A36" s="24" t="s">
        <v>140</v>
      </c>
      <c r="B36" s="65" t="s">
        <v>228</v>
      </c>
      <c r="C36" s="24" t="s">
        <v>22</v>
      </c>
      <c r="D36" s="24" t="s">
        <v>122</v>
      </c>
      <c r="E36" s="24" t="s">
        <v>11</v>
      </c>
      <c r="F36" s="24" t="s">
        <v>56</v>
      </c>
      <c r="G36" s="25">
        <v>46150</v>
      </c>
      <c r="H36" s="8">
        <f t="shared" ca="1" si="3"/>
        <v>46163</v>
      </c>
      <c r="I36" s="21">
        <f ca="1">NETWORKDAYS.INTL(Table1[[#This Row],[Activation date]],Table1[[#This Row],[Column3]],1)</f>
        <v>10</v>
      </c>
      <c r="J36" s="20">
        <f>VLOOKUP(Table1[[#This Row],[PO Order number]],[1]Sheet1!$B$1:$I$125,5,FALSE)</f>
        <v>46164</v>
      </c>
      <c r="K36" s="24">
        <f>VLOOKUP(Table1[[#This Row],[PO Order number]],[2]!Table1[#All],11,FALSE)</f>
        <v>0</v>
      </c>
      <c r="L36" s="20" t="str">
        <f>VLOOKUP(Table1[[#This Row],[PO Order number]],[1]Sheet1!$B$1:$I$125,6,FALSE)</f>
        <v/>
      </c>
    </row>
    <row r="37" spans="1:12" x14ac:dyDescent="0.25">
      <c r="A37" s="24" t="s">
        <v>124</v>
      </c>
      <c r="B37" s="65" t="s">
        <v>229</v>
      </c>
      <c r="C37" s="24" t="s">
        <v>17</v>
      </c>
      <c r="D37" s="24" t="s">
        <v>38</v>
      </c>
      <c r="E37" s="24" t="s">
        <v>11</v>
      </c>
      <c r="F37" s="24" t="s">
        <v>69</v>
      </c>
      <c r="G37" s="25">
        <v>46153</v>
      </c>
      <c r="H37" s="8">
        <f t="shared" ca="1" si="3"/>
        <v>46163</v>
      </c>
      <c r="I37" s="21">
        <f ca="1">NETWORKDAYS.INTL(Table1[[#This Row],[Activation date]],Table1[[#This Row],[Column3]],1)</f>
        <v>9</v>
      </c>
      <c r="J37" s="20">
        <f>VLOOKUP(Table1[[#This Row],[PO Order number]],[1]Sheet1!$B$1:$I$125,5,FALSE)</f>
        <v>46169</v>
      </c>
      <c r="K37" s="24">
        <f>VLOOKUP(Table1[[#This Row],[PO Order number]],[2]!Table1[#All],11,FALSE)</f>
        <v>0</v>
      </c>
      <c r="L37" s="20" t="str">
        <f>VLOOKUP(Table1[[#This Row],[PO Order number]],[1]Sheet1!$B$1:$I$125,6,FALSE)</f>
        <v/>
      </c>
    </row>
    <row r="38" spans="1:12" x14ac:dyDescent="0.25">
      <c r="A38" s="24" t="s">
        <v>126</v>
      </c>
      <c r="B38" s="65" t="s">
        <v>230</v>
      </c>
      <c r="C38" s="24" t="s">
        <v>17</v>
      </c>
      <c r="D38" s="24" t="s">
        <v>38</v>
      </c>
      <c r="E38" s="24" t="s">
        <v>11</v>
      </c>
      <c r="F38" s="24" t="s">
        <v>57</v>
      </c>
      <c r="G38" s="25">
        <v>46153</v>
      </c>
      <c r="H38" s="8">
        <f t="shared" ca="1" si="3"/>
        <v>46163</v>
      </c>
      <c r="I38" s="21">
        <f ca="1">NETWORKDAYS.INTL(Table1[[#This Row],[Activation date]],Table1[[#This Row],[Column3]],1)</f>
        <v>9</v>
      </c>
      <c r="J38" s="20">
        <f>VLOOKUP(Table1[[#This Row],[PO Order number]],[1]Sheet1!$B$1:$I$125,5,FALSE)</f>
        <v>46167</v>
      </c>
      <c r="K38" s="24">
        <f>VLOOKUP(Table1[[#This Row],[PO Order number]],[2]!Table1[#All],11,FALSE)</f>
        <v>0</v>
      </c>
      <c r="L38" s="20" t="str">
        <f>VLOOKUP(Table1[[#This Row],[PO Order number]],[1]Sheet1!$B$1:$I$125,6,FALSE)</f>
        <v/>
      </c>
    </row>
    <row r="39" spans="1:12" x14ac:dyDescent="0.25">
      <c r="A39" s="24" t="s">
        <v>127</v>
      </c>
      <c r="B39" s="65" t="s">
        <v>231</v>
      </c>
      <c r="C39" s="24" t="s">
        <v>17</v>
      </c>
      <c r="D39" s="24" t="s">
        <v>38</v>
      </c>
      <c r="E39" s="24" t="s">
        <v>11</v>
      </c>
      <c r="F39" s="24" t="s">
        <v>69</v>
      </c>
      <c r="G39" s="25">
        <v>46153</v>
      </c>
      <c r="H39" s="8">
        <f t="shared" ca="1" si="3"/>
        <v>46163</v>
      </c>
      <c r="I39" s="21">
        <f ca="1">NETWORKDAYS.INTL(Table1[[#This Row],[Activation date]],Table1[[#This Row],[Column3]],1)</f>
        <v>9</v>
      </c>
      <c r="J39" s="20">
        <f>VLOOKUP(Table1[[#This Row],[PO Order number]],[1]Sheet1!$B$1:$I$125,5,FALSE)</f>
        <v>46170</v>
      </c>
      <c r="K39" s="24">
        <f>VLOOKUP(Table1[[#This Row],[PO Order number]],[2]!Table1[#All],11,FALSE)</f>
        <v>0</v>
      </c>
      <c r="L39" s="20" t="str">
        <f>VLOOKUP(Table1[[#This Row],[PO Order number]],[1]Sheet1!$B$1:$I$125,6,FALSE)</f>
        <v/>
      </c>
    </row>
    <row r="40" spans="1:12" x14ac:dyDescent="0.25">
      <c r="A40" s="24" t="s">
        <v>129</v>
      </c>
      <c r="B40" s="65" t="s">
        <v>232</v>
      </c>
      <c r="C40" s="24" t="s">
        <v>16</v>
      </c>
      <c r="D40" s="24" t="s">
        <v>36</v>
      </c>
      <c r="E40" s="24" t="s">
        <v>11</v>
      </c>
      <c r="F40" s="24" t="s">
        <v>56</v>
      </c>
      <c r="G40" s="25">
        <v>46153</v>
      </c>
      <c r="H40" s="8">
        <f t="shared" ca="1" si="3"/>
        <v>46163</v>
      </c>
      <c r="I40" s="21">
        <f ca="1">NETWORKDAYS.INTL(Table1[[#This Row],[Activation date]],Table1[[#This Row],[Column3]],1)</f>
        <v>9</v>
      </c>
      <c r="J40" s="20">
        <f>VLOOKUP(Table1[[#This Row],[PO Order number]],[1]Sheet1!$B$1:$I$125,5,FALSE)</f>
        <v>46204</v>
      </c>
      <c r="K40" s="24" t="str">
        <f>VLOOKUP(Table1[[#This Row],[PO Order number]],[2]!Table1[#All],11,FALSE)</f>
        <v>NUTELLA PEANUT 15 CT</v>
      </c>
      <c r="L40" s="20" t="str">
        <f>VLOOKUP(Table1[[#This Row],[PO Order number]],[1]Sheet1!$B$1:$I$125,6,FALSE)</f>
        <v/>
      </c>
    </row>
    <row r="41" spans="1:12" x14ac:dyDescent="0.25">
      <c r="A41" s="24" t="s">
        <v>130</v>
      </c>
      <c r="B41" s="65" t="s">
        <v>233</v>
      </c>
      <c r="C41" s="24" t="s">
        <v>17</v>
      </c>
      <c r="D41" s="24" t="s">
        <v>38</v>
      </c>
      <c r="E41" s="24" t="s">
        <v>11</v>
      </c>
      <c r="F41" s="24" t="s">
        <v>57</v>
      </c>
      <c r="G41" s="25">
        <v>46153</v>
      </c>
      <c r="H41" s="8">
        <f t="shared" ca="1" si="3"/>
        <v>46163</v>
      </c>
      <c r="I41" s="21">
        <f ca="1">NETWORKDAYS.INTL(Table1[[#This Row],[Activation date]],Table1[[#This Row],[Column3]],1)</f>
        <v>9</v>
      </c>
      <c r="J41" s="20">
        <f>VLOOKUP(Table1[[#This Row],[PO Order number]],[1]Sheet1!$B$1:$I$125,5,FALSE)</f>
        <v>46169</v>
      </c>
      <c r="K41" s="24">
        <f>VLOOKUP(Table1[[#This Row],[PO Order number]],[2]!Table1[#All],11,FALSE)</f>
        <v>0</v>
      </c>
      <c r="L41" s="20" t="str">
        <f>VLOOKUP(Table1[[#This Row],[PO Order number]],[1]Sheet1!$B$1:$I$125,6,FALSE)</f>
        <v/>
      </c>
    </row>
    <row r="42" spans="1:12" x14ac:dyDescent="0.25">
      <c r="A42" s="24" t="s">
        <v>133</v>
      </c>
      <c r="B42" s="65" t="s">
        <v>234</v>
      </c>
      <c r="C42" s="24" t="s">
        <v>15</v>
      </c>
      <c r="D42" s="24" t="s">
        <v>38</v>
      </c>
      <c r="E42" s="24" t="s">
        <v>11</v>
      </c>
      <c r="F42" s="24" t="s">
        <v>56</v>
      </c>
      <c r="G42" s="25">
        <v>46153</v>
      </c>
      <c r="H42" s="8">
        <f t="shared" ca="1" si="3"/>
        <v>46163</v>
      </c>
      <c r="I42" s="21">
        <f ca="1">NETWORKDAYS.INTL(Table1[[#This Row],[Activation date]],Table1[[#This Row],[Column3]],1)</f>
        <v>9</v>
      </c>
      <c r="J42" s="20">
        <f>VLOOKUP(Table1[[#This Row],[PO Order number]],[1]Sheet1!$B$1:$I$125,5,FALSE)</f>
        <v>46169</v>
      </c>
      <c r="K42" s="24">
        <f>VLOOKUP(Table1[[#This Row],[PO Order number]],[2]!Table1[#All],11,FALSE)</f>
        <v>0</v>
      </c>
      <c r="L42" s="20" t="str">
        <f>VLOOKUP(Table1[[#This Row],[PO Order number]],[1]Sheet1!$B$1:$I$125,6,FALSE)</f>
        <v/>
      </c>
    </row>
    <row r="43" spans="1:12" x14ac:dyDescent="0.25">
      <c r="A43" s="24" t="s">
        <v>134</v>
      </c>
      <c r="B43" s="65" t="s">
        <v>235</v>
      </c>
      <c r="C43" s="24" t="s">
        <v>10</v>
      </c>
      <c r="D43" s="24" t="s">
        <v>37</v>
      </c>
      <c r="E43" s="24" t="s">
        <v>11</v>
      </c>
      <c r="F43" s="24" t="s">
        <v>106</v>
      </c>
      <c r="G43" s="25">
        <v>46153</v>
      </c>
      <c r="H43" s="8">
        <f t="shared" ca="1" si="3"/>
        <v>46163</v>
      </c>
      <c r="I43" s="21">
        <f ca="1">NETWORKDAYS.INTL(Table1[[#This Row],[Activation date]],Table1[[#This Row],[Column3]],1)</f>
        <v>9</v>
      </c>
      <c r="J43" s="20">
        <f>VLOOKUP(Table1[[#This Row],[PO Order number]],[1]Sheet1!$B$1:$I$125,5,FALSE)</f>
        <v>46163</v>
      </c>
      <c r="K43" s="24">
        <f>VLOOKUP(Table1[[#This Row],[PO Order number]],[2]!Table1[#All],11,FALSE)</f>
        <v>0</v>
      </c>
      <c r="L43" s="20" t="str">
        <f>VLOOKUP(Table1[[#This Row],[PO Order number]],[1]Sheet1!$B$1:$I$125,6,FALSE)</f>
        <v/>
      </c>
    </row>
    <row r="44" spans="1:12" x14ac:dyDescent="0.25">
      <c r="A44" s="24" t="s">
        <v>128</v>
      </c>
      <c r="B44" s="65" t="s">
        <v>236</v>
      </c>
      <c r="C44" s="24" t="s">
        <v>16</v>
      </c>
      <c r="D44" s="24" t="s">
        <v>36</v>
      </c>
      <c r="E44" s="24" t="s">
        <v>11</v>
      </c>
      <c r="F44" s="24" t="s">
        <v>56</v>
      </c>
      <c r="G44" s="25">
        <v>46154</v>
      </c>
      <c r="H44" s="8">
        <f t="shared" ca="1" si="3"/>
        <v>46163</v>
      </c>
      <c r="I44" s="21">
        <f ca="1">NETWORKDAYS.INTL(Table1[[#This Row],[Activation date]],Table1[[#This Row],[Column3]],1)</f>
        <v>8</v>
      </c>
      <c r="J44" s="20" t="e">
        <f>VLOOKUP(Table1[[#This Row],[PO Order number]],[1]Sheet1!$B$1:$I$125,5,FALSE)</f>
        <v>#N/A</v>
      </c>
      <c r="K44" s="24" t="str">
        <f>VLOOKUP(Table1[[#This Row],[PO Order number]],[2]!Table1[#All],11,FALSE)</f>
        <v>NUTELLA PEANUT 15 CT</v>
      </c>
      <c r="L44" s="20" t="e">
        <f>VLOOKUP(Table1[[#This Row],[PO Order number]],[1]Sheet1!$B$1:$I$125,6,FALSE)</f>
        <v>#N/A</v>
      </c>
    </row>
    <row r="45" spans="1:12" x14ac:dyDescent="0.25">
      <c r="A45" s="24" t="s">
        <v>151</v>
      </c>
      <c r="B45" s="65" t="s">
        <v>237</v>
      </c>
      <c r="C45" s="1" t="s">
        <v>17</v>
      </c>
      <c r="D45" s="24" t="s">
        <v>37</v>
      </c>
      <c r="E45" s="24" t="s">
        <v>11</v>
      </c>
      <c r="F45" s="1" t="s">
        <v>40</v>
      </c>
      <c r="G45" s="25">
        <v>46154</v>
      </c>
      <c r="H45" s="8">
        <f t="shared" ca="1" si="3"/>
        <v>46163</v>
      </c>
      <c r="I45" s="21">
        <f ca="1">NETWORKDAYS.INTL(Table1[[#This Row],[Activation date]],Table1[[#This Row],[Column3]],1)</f>
        <v>8</v>
      </c>
      <c r="J45" s="20">
        <f>VLOOKUP(Table1[[#This Row],[PO Order number]],[1]Sheet1!$B$1:$I$125,5,FALSE)</f>
        <v>46169</v>
      </c>
      <c r="K45" s="24">
        <f>VLOOKUP(Table1[[#This Row],[PO Order number]],[2]!Table1[#All],11,FALSE)</f>
        <v>0</v>
      </c>
      <c r="L45" s="20" t="str">
        <f>VLOOKUP(Table1[[#This Row],[PO Order number]],[1]Sheet1!$B$1:$I$125,6,FALSE)</f>
        <v/>
      </c>
    </row>
    <row r="46" spans="1:12" x14ac:dyDescent="0.25">
      <c r="A46" s="24" t="s">
        <v>125</v>
      </c>
      <c r="B46" s="65" t="s">
        <v>239</v>
      </c>
      <c r="C46" s="24" t="s">
        <v>10</v>
      </c>
      <c r="D46" s="24" t="s">
        <v>37</v>
      </c>
      <c r="E46" s="24" t="s">
        <v>11</v>
      </c>
      <c r="F46" s="24" t="s">
        <v>106</v>
      </c>
      <c r="G46" s="25">
        <v>46154</v>
      </c>
      <c r="H46" s="8">
        <f t="shared" ca="1" si="3"/>
        <v>46163</v>
      </c>
      <c r="I46" s="21">
        <f ca="1">NETWORKDAYS.INTL(Table1[[#This Row],[Activation date]],Table1[[#This Row],[Column3]],1)</f>
        <v>8</v>
      </c>
      <c r="J46" s="20">
        <f>VLOOKUP(Table1[[#This Row],[PO Order number]],[1]Sheet1!$B$1:$I$125,5,FALSE)</f>
        <v>46168</v>
      </c>
      <c r="K46" s="24">
        <f>VLOOKUP(Table1[[#This Row],[PO Order number]],[2]!Table1[#All],11,FALSE)</f>
        <v>0</v>
      </c>
      <c r="L46" s="20" t="str">
        <f>VLOOKUP(Table1[[#This Row],[PO Order number]],[1]Sheet1!$B$1:$I$125,6,FALSE)</f>
        <v/>
      </c>
    </row>
    <row r="47" spans="1:12" x14ac:dyDescent="0.25">
      <c r="A47" s="42" t="s">
        <v>151</v>
      </c>
      <c r="B47" s="65" t="s">
        <v>237</v>
      </c>
      <c r="C47" s="42" t="s">
        <v>17</v>
      </c>
      <c r="D47" s="42" t="s">
        <v>37</v>
      </c>
      <c r="E47" s="24" t="s">
        <v>11</v>
      </c>
      <c r="F47" s="42" t="s">
        <v>40</v>
      </c>
      <c r="G47" s="43">
        <v>46155</v>
      </c>
      <c r="H47" s="8">
        <f t="shared" ca="1" si="3"/>
        <v>46163</v>
      </c>
      <c r="I47" s="21">
        <f ca="1">NETWORKDAYS.INTL(Table1[[#This Row],[Activation date]],Table1[[#This Row],[Column3]],1)</f>
        <v>7</v>
      </c>
      <c r="J47" s="20">
        <f>VLOOKUP(Table1[[#This Row],[PO Order number]],[1]Sheet1!$B$1:$I$125,5,FALSE)</f>
        <v>46169</v>
      </c>
      <c r="K47" s="24">
        <f>VLOOKUP(Table1[[#This Row],[PO Order number]],[2]!Table1[#All],11,FALSE)</f>
        <v>0</v>
      </c>
      <c r="L47" s="20" t="str">
        <f>VLOOKUP(Table1[[#This Row],[PO Order number]],[1]Sheet1!$B$1:$I$125,6,FALSE)</f>
        <v/>
      </c>
    </row>
    <row r="48" spans="1:12" x14ac:dyDescent="0.25">
      <c r="A48" s="45" t="s">
        <v>190</v>
      </c>
      <c r="B48" s="65" t="s">
        <v>240</v>
      </c>
      <c r="C48" s="45" t="s">
        <v>7</v>
      </c>
      <c r="D48" s="45" t="s">
        <v>37</v>
      </c>
      <c r="E48" s="24" t="s">
        <v>11</v>
      </c>
      <c r="F48" s="45" t="s">
        <v>56</v>
      </c>
      <c r="G48" s="46">
        <v>46155</v>
      </c>
      <c r="H48" s="8">
        <f t="shared" ca="1" si="3"/>
        <v>46163</v>
      </c>
      <c r="I48" s="21">
        <f ca="1">NETWORKDAYS.INTL(Table1[[#This Row],[Activation date]],Table1[[#This Row],[Column3]],1)</f>
        <v>7</v>
      </c>
      <c r="J48" s="20">
        <f>VLOOKUP(Table1[[#This Row],[PO Order number]],[1]Sheet1!$B$1:$I$125,5,FALSE)</f>
        <v>46169</v>
      </c>
      <c r="K48" s="24">
        <f>VLOOKUP(Table1[[#This Row],[PO Order number]],[2]!Table1[#All],11,FALSE)</f>
        <v>0</v>
      </c>
      <c r="L48" s="20" t="str">
        <f>VLOOKUP(Table1[[#This Row],[PO Order number]],[1]Sheet1!$B$1:$I$125,6,FALSE)</f>
        <v/>
      </c>
    </row>
    <row r="49" spans="1:12" x14ac:dyDescent="0.25">
      <c r="A49" s="42" t="s">
        <v>175</v>
      </c>
      <c r="B49" s="65" t="s">
        <v>241</v>
      </c>
      <c r="C49" s="42" t="s">
        <v>15</v>
      </c>
      <c r="D49" s="42" t="s">
        <v>38</v>
      </c>
      <c r="E49" s="24" t="s">
        <v>11</v>
      </c>
      <c r="F49" s="42" t="s">
        <v>56</v>
      </c>
      <c r="G49" s="43">
        <v>46156</v>
      </c>
      <c r="H49" s="8">
        <f t="shared" ca="1" si="3"/>
        <v>46163</v>
      </c>
      <c r="I49" s="21">
        <f ca="1">NETWORKDAYS.INTL(Table1[[#This Row],[Activation date]],Table1[[#This Row],[Column3]],1)</f>
        <v>6</v>
      </c>
      <c r="J49" s="20">
        <f>VLOOKUP(Table1[[#This Row],[PO Order number]],[1]Sheet1!$B$1:$I$125,5,FALSE)</f>
        <v>46170</v>
      </c>
      <c r="K49" s="24">
        <f>VLOOKUP(Table1[[#This Row],[PO Order number]],[2]!Table1[#All],11,FALSE)</f>
        <v>0</v>
      </c>
      <c r="L49" s="20" t="str">
        <f>VLOOKUP(Table1[[#This Row],[PO Order number]],[1]Sheet1!$B$1:$I$125,6,FALSE)</f>
        <v/>
      </c>
    </row>
    <row r="50" spans="1:12" x14ac:dyDescent="0.25">
      <c r="A50" s="42" t="s">
        <v>176</v>
      </c>
      <c r="B50" s="65" t="s">
        <v>242</v>
      </c>
      <c r="C50" s="64" t="s">
        <v>15</v>
      </c>
      <c r="D50" s="42" t="s">
        <v>38</v>
      </c>
      <c r="E50" s="24" t="s">
        <v>11</v>
      </c>
      <c r="F50" s="42" t="s">
        <v>56</v>
      </c>
      <c r="G50" s="43">
        <v>46156</v>
      </c>
      <c r="H50" s="8">
        <f t="shared" ca="1" si="3"/>
        <v>46163</v>
      </c>
      <c r="I50" s="21">
        <f ca="1">NETWORKDAYS.INTL(Table1[[#This Row],[Activation date]],Table1[[#This Row],[Column3]],1)</f>
        <v>6</v>
      </c>
      <c r="J50" s="20">
        <f>VLOOKUP(Table1[[#This Row],[PO Order number]],[1]Sheet1!$B$1:$I$125,5,FALSE)</f>
        <v>46170</v>
      </c>
      <c r="K50" s="24">
        <f>VLOOKUP(Table1[[#This Row],[PO Order number]],[2]!Table1[#All],11,FALSE)</f>
        <v>0</v>
      </c>
      <c r="L50" s="20" t="str">
        <f>VLOOKUP(Table1[[#This Row],[PO Order number]],[1]Sheet1!$B$1:$I$125,6,FALSE)</f>
        <v/>
      </c>
    </row>
    <row r="51" spans="1:12" x14ac:dyDescent="0.25">
      <c r="A51" s="45" t="s">
        <v>192</v>
      </c>
      <c r="B51" s="65" t="s">
        <v>243</v>
      </c>
      <c r="C51" s="45" t="s">
        <v>15</v>
      </c>
      <c r="D51" s="45" t="s">
        <v>38</v>
      </c>
      <c r="E51" s="24" t="s">
        <v>11</v>
      </c>
      <c r="F51" s="45" t="s">
        <v>56</v>
      </c>
      <c r="G51" s="46">
        <v>46156</v>
      </c>
      <c r="H51" s="8">
        <f t="shared" ca="1" si="3"/>
        <v>46163</v>
      </c>
      <c r="I51" s="21">
        <f ca="1">NETWORKDAYS.INTL(Table1[[#This Row],[Activation date]],Table1[[#This Row],[Column3]],1)</f>
        <v>6</v>
      </c>
      <c r="J51" s="20" t="e">
        <f>VLOOKUP(Table1[[#This Row],[PO Order number]],[1]Sheet1!$B$1:$I$125,5,FALSE)</f>
        <v>#N/A</v>
      </c>
      <c r="K51" s="24">
        <f>VLOOKUP(Table1[[#This Row],[PO Order number]],[2]!Table1[#All],11,FALSE)</f>
        <v>0</v>
      </c>
      <c r="L51" s="20" t="e">
        <f>VLOOKUP(Table1[[#This Row],[PO Order number]],[1]Sheet1!$B$1:$I$125,6,FALSE)</f>
        <v>#N/A</v>
      </c>
    </row>
    <row r="52" spans="1:12" x14ac:dyDescent="0.25">
      <c r="A52" s="45" t="s">
        <v>193</v>
      </c>
      <c r="B52" s="65" t="s">
        <v>244</v>
      </c>
      <c r="C52" s="45" t="s">
        <v>15</v>
      </c>
      <c r="D52" s="45" t="s">
        <v>38</v>
      </c>
      <c r="E52" s="24" t="s">
        <v>11</v>
      </c>
      <c r="F52" s="45" t="s">
        <v>56</v>
      </c>
      <c r="G52" s="46">
        <v>46156</v>
      </c>
      <c r="H52" s="8">
        <f t="shared" ca="1" si="3"/>
        <v>46163</v>
      </c>
      <c r="I52" s="21">
        <f ca="1">NETWORKDAYS.INTL(Table1[[#This Row],[Activation date]],Table1[[#This Row],[Column3]],1)</f>
        <v>6</v>
      </c>
      <c r="J52" s="20" t="e">
        <f>VLOOKUP(Table1[[#This Row],[PO Order number]],[1]Sheet1!$B$1:$I$125,5,FALSE)</f>
        <v>#N/A</v>
      </c>
      <c r="K52" s="24">
        <f>VLOOKUP(Table1[[#This Row],[PO Order number]],[2]!Table1[#All],11,FALSE)</f>
        <v>0</v>
      </c>
      <c r="L52" s="20" t="e">
        <f>VLOOKUP(Table1[[#This Row],[PO Order number]],[1]Sheet1!$B$1:$I$125,6,FALSE)</f>
        <v>#N/A</v>
      </c>
    </row>
    <row r="53" spans="1:12" x14ac:dyDescent="0.25">
      <c r="A53" s="42" t="s">
        <v>174</v>
      </c>
      <c r="B53" s="65" t="s">
        <v>245</v>
      </c>
      <c r="C53" s="42" t="s">
        <v>15</v>
      </c>
      <c r="D53" s="42" t="s">
        <v>38</v>
      </c>
      <c r="E53" s="24" t="s">
        <v>11</v>
      </c>
      <c r="F53" s="24" t="s">
        <v>56</v>
      </c>
      <c r="G53" s="43">
        <v>46157</v>
      </c>
      <c r="H53" s="8">
        <f t="shared" ca="1" si="3"/>
        <v>46163</v>
      </c>
      <c r="I53" s="21">
        <f ca="1">NETWORKDAYS.INTL(Table1[[#This Row],[Activation date]],Table1[[#This Row],[Column3]],1)</f>
        <v>5</v>
      </c>
      <c r="J53" s="20">
        <f>VLOOKUP(Table1[[#This Row],[PO Order number]],[1]Sheet1!$B$1:$I$125,5,FALSE)</f>
        <v>46170</v>
      </c>
      <c r="K53" s="24">
        <f>VLOOKUP(Table1[[#This Row],[PO Order number]],[2]!Table1[#All],11,FALSE)</f>
        <v>0</v>
      </c>
      <c r="L53" s="20" t="str">
        <f>VLOOKUP(Table1[[#This Row],[PO Order number]],[1]Sheet1!$B$1:$I$125,6,FALSE)</f>
        <v/>
      </c>
    </row>
    <row r="54" spans="1:12" x14ac:dyDescent="0.25">
      <c r="A54" s="42" t="s">
        <v>179</v>
      </c>
      <c r="B54" s="65" t="s">
        <v>246</v>
      </c>
      <c r="C54" s="42" t="s">
        <v>20</v>
      </c>
      <c r="D54" s="42" t="s">
        <v>183</v>
      </c>
      <c r="E54" s="24" t="s">
        <v>11</v>
      </c>
      <c r="F54" s="42" t="s">
        <v>56</v>
      </c>
      <c r="G54" s="43">
        <v>46157</v>
      </c>
      <c r="H54" s="8">
        <f t="shared" ca="1" si="3"/>
        <v>46163</v>
      </c>
      <c r="I54" s="21">
        <f ca="1">NETWORKDAYS.INTL(Table1[[#This Row],[Activation date]],Table1[[#This Row],[Column3]],1)</f>
        <v>5</v>
      </c>
      <c r="J54" s="20" t="e">
        <f>VLOOKUP(Table1[[#This Row],[PO Order number]],[1]Sheet1!$B$1:$I$125,5,FALSE)</f>
        <v>#N/A</v>
      </c>
      <c r="K54" s="24">
        <f>VLOOKUP(Table1[[#This Row],[PO Order number]],[2]!Table1[#All],11,FALSE)</f>
        <v>0</v>
      </c>
      <c r="L54" s="20" t="e">
        <f>VLOOKUP(Table1[[#This Row],[PO Order number]],[1]Sheet1!$B$1:$I$125,6,FALSE)</f>
        <v>#N/A</v>
      </c>
    </row>
    <row r="55" spans="1:12" x14ac:dyDescent="0.25">
      <c r="A55" s="42" t="s">
        <v>180</v>
      </c>
      <c r="B55" s="65" t="s">
        <v>247</v>
      </c>
      <c r="C55" s="42" t="s">
        <v>10</v>
      </c>
      <c r="D55" s="42" t="s">
        <v>184</v>
      </c>
      <c r="E55" s="24" t="s">
        <v>11</v>
      </c>
      <c r="F55" s="42" t="s">
        <v>106</v>
      </c>
      <c r="G55" s="43">
        <v>46157</v>
      </c>
      <c r="H55" s="8">
        <f t="shared" ca="1" si="3"/>
        <v>46163</v>
      </c>
      <c r="I55" s="21">
        <f ca="1">NETWORKDAYS.INTL(Table1[[#This Row],[Activation date]],Table1[[#This Row],[Column3]],1)</f>
        <v>5</v>
      </c>
      <c r="J55" s="20" t="e">
        <f>VLOOKUP(Table1[[#This Row],[PO Order number]],[1]Sheet1!$B$1:$I$125,5,FALSE)</f>
        <v>#N/A</v>
      </c>
      <c r="K55" s="24">
        <f>VLOOKUP(Table1[[#This Row],[PO Order number]],[2]!Table1[#All],11,FALSE)</f>
        <v>0</v>
      </c>
      <c r="L55" s="20" t="e">
        <f>VLOOKUP(Table1[[#This Row],[PO Order number]],[1]Sheet1!$B$1:$I$125,6,FALSE)</f>
        <v>#N/A</v>
      </c>
    </row>
    <row r="56" spans="1:12" x14ac:dyDescent="0.25">
      <c r="A56" s="42" t="s">
        <v>182</v>
      </c>
      <c r="B56" s="65" t="s">
        <v>248</v>
      </c>
      <c r="C56" s="42" t="s">
        <v>10</v>
      </c>
      <c r="D56" s="42" t="s">
        <v>186</v>
      </c>
      <c r="E56" s="24" t="s">
        <v>11</v>
      </c>
      <c r="F56" s="42" t="s">
        <v>106</v>
      </c>
      <c r="G56" s="43">
        <v>46157</v>
      </c>
      <c r="H56" s="8">
        <f t="shared" ca="1" si="3"/>
        <v>46163</v>
      </c>
      <c r="I56" s="21">
        <f ca="1">NETWORKDAYS.INTL(Table1[[#This Row],[Activation date]],Table1[[#This Row],[Column3]],1)</f>
        <v>5</v>
      </c>
      <c r="J56" s="20" t="e">
        <f>VLOOKUP(Table1[[#This Row],[PO Order number]],[1]Sheet1!$B$1:$I$125,5,FALSE)</f>
        <v>#N/A</v>
      </c>
      <c r="K56" s="24">
        <f>VLOOKUP(Table1[[#This Row],[PO Order number]],[2]!Table1[#All],11,FALSE)</f>
        <v>0</v>
      </c>
      <c r="L56" s="20" t="e">
        <f>VLOOKUP(Table1[[#This Row],[PO Order number]],[1]Sheet1!$B$1:$I$125,6,FALSE)</f>
        <v>#N/A</v>
      </c>
    </row>
    <row r="57" spans="1:12" x14ac:dyDescent="0.25">
      <c r="A57" s="45" t="s">
        <v>181</v>
      </c>
      <c r="B57" s="65" t="s">
        <v>249</v>
      </c>
      <c r="C57" s="42" t="s">
        <v>20</v>
      </c>
      <c r="D57" s="45" t="s">
        <v>185</v>
      </c>
      <c r="E57" s="24" t="s">
        <v>11</v>
      </c>
      <c r="F57" s="42" t="s">
        <v>106</v>
      </c>
      <c r="G57" s="46">
        <v>46157</v>
      </c>
      <c r="H57" s="8">
        <f t="shared" ca="1" si="3"/>
        <v>46163</v>
      </c>
      <c r="I57" s="21">
        <f ca="1">NETWORKDAYS.INTL(Table1[[#This Row],[Activation date]],Table1[[#This Row],[Column3]],1)</f>
        <v>5</v>
      </c>
      <c r="J57" s="20" t="e">
        <f>VLOOKUP(Table1[[#This Row],[PO Order number]],[1]Sheet1!$B$1:$I$125,5,FALSE)</f>
        <v>#N/A</v>
      </c>
      <c r="K57" s="24">
        <f>VLOOKUP(Table1[[#This Row],[PO Order number]],[2]!Table1[#All],11,FALSE)</f>
        <v>0</v>
      </c>
      <c r="L57" s="20" t="e">
        <f>VLOOKUP(Table1[[#This Row],[PO Order number]],[1]Sheet1!$B$1:$I$125,6,FALSE)</f>
        <v>#N/A</v>
      </c>
    </row>
    <row r="58" spans="1:12" x14ac:dyDescent="0.25">
      <c r="A58" s="45" t="s">
        <v>191</v>
      </c>
      <c r="B58" s="65" t="s">
        <v>250</v>
      </c>
      <c r="C58" s="45" t="s">
        <v>15</v>
      </c>
      <c r="D58" s="45" t="s">
        <v>38</v>
      </c>
      <c r="E58" s="24" t="s">
        <v>11</v>
      </c>
      <c r="F58" s="45" t="s">
        <v>56</v>
      </c>
      <c r="G58" s="46">
        <v>46157</v>
      </c>
      <c r="H58" s="8">
        <f t="shared" ca="1" si="3"/>
        <v>46163</v>
      </c>
      <c r="I58" s="21">
        <f ca="1">NETWORKDAYS.INTL(Table1[[#This Row],[Activation date]],Table1[[#This Row],[Column3]],1)</f>
        <v>5</v>
      </c>
      <c r="J58" s="20">
        <f>VLOOKUP(Table1[[#This Row],[PO Order number]],[1]Sheet1!$B$1:$I$125,5,FALSE)</f>
        <v>46170</v>
      </c>
      <c r="K58" s="24">
        <f>VLOOKUP(Table1[[#This Row],[PO Order number]],[2]!Table1[#All],11,FALSE)</f>
        <v>0</v>
      </c>
      <c r="L58" s="20" t="str">
        <f>VLOOKUP(Table1[[#This Row],[PO Order number]],[1]Sheet1!$B$1:$I$125,6,FALSE)</f>
        <v/>
      </c>
    </row>
    <row r="59" spans="1:12" x14ac:dyDescent="0.25">
      <c r="A59" s="42" t="s">
        <v>177</v>
      </c>
      <c r="B59" s="65" t="s">
        <v>251</v>
      </c>
      <c r="C59" s="42" t="s">
        <v>15</v>
      </c>
      <c r="D59" s="42" t="s">
        <v>38</v>
      </c>
      <c r="E59" s="24" t="s">
        <v>11</v>
      </c>
      <c r="F59" s="42" t="s">
        <v>56</v>
      </c>
      <c r="G59" s="43">
        <v>46160</v>
      </c>
      <c r="H59" s="8">
        <f t="shared" ca="1" si="3"/>
        <v>46163</v>
      </c>
      <c r="I59" s="21">
        <f ca="1">NETWORKDAYS.INTL(Table1[[#This Row],[Activation date]],Table1[[#This Row],[Column3]],1)</f>
        <v>4</v>
      </c>
      <c r="J59" s="20" t="e">
        <f>VLOOKUP(Table1[[#This Row],[PO Order number]],[1]Sheet1!$B$1:$I$125,5,FALSE)</f>
        <v>#N/A</v>
      </c>
      <c r="K59" s="24">
        <f>VLOOKUP(Table1[[#This Row],[PO Order number]],[2]!Table1[#All],11,FALSE)</f>
        <v>0</v>
      </c>
      <c r="L59" s="20" t="e">
        <f>VLOOKUP(Table1[[#This Row],[PO Order number]],[1]Sheet1!$B$1:$I$125,6,FALSE)</f>
        <v>#N/A</v>
      </c>
    </row>
    <row r="60" spans="1:12" x14ac:dyDescent="0.25">
      <c r="A60" s="42" t="s">
        <v>178</v>
      </c>
      <c r="B60" s="65" t="s">
        <v>252</v>
      </c>
      <c r="C60" s="42" t="s">
        <v>15</v>
      </c>
      <c r="D60" s="42" t="s">
        <v>38</v>
      </c>
      <c r="E60" s="24" t="s">
        <v>11</v>
      </c>
      <c r="F60" s="42" t="s">
        <v>56</v>
      </c>
      <c r="G60" s="43">
        <v>46160</v>
      </c>
      <c r="H60" s="8">
        <f t="shared" ca="1" si="3"/>
        <v>46163</v>
      </c>
      <c r="I60" s="21">
        <f ca="1">NETWORKDAYS.INTL(Table1[[#This Row],[Activation date]],Table1[[#This Row],[Column3]],1)</f>
        <v>4</v>
      </c>
      <c r="J60" s="20" t="e">
        <f>VLOOKUP(Table1[[#This Row],[PO Order number]],[1]Sheet1!$B$1:$I$125,5,FALSE)</f>
        <v>#N/A</v>
      </c>
      <c r="K60" s="24">
        <f>VLOOKUP(Table1[[#This Row],[PO Order number]],[2]!Table1[#All],11,FALSE)</f>
        <v>0</v>
      </c>
      <c r="L60" s="20" t="e">
        <f>VLOOKUP(Table1[[#This Row],[PO Order number]],[1]Sheet1!$B$1:$I$125,6,FALSE)</f>
        <v>#N/A</v>
      </c>
    </row>
    <row r="61" spans="1:12" x14ac:dyDescent="0.25">
      <c r="A61" s="47" t="s">
        <v>187</v>
      </c>
      <c r="B61" s="66" t="s">
        <v>253</v>
      </c>
      <c r="C61" s="42" t="s">
        <v>20</v>
      </c>
      <c r="D61" s="45" t="s">
        <v>188</v>
      </c>
      <c r="E61" s="24" t="s">
        <v>11</v>
      </c>
      <c r="F61" s="42" t="s">
        <v>56</v>
      </c>
      <c r="G61" s="46">
        <v>46160</v>
      </c>
      <c r="H61" s="8">
        <f t="shared" ca="1" si="3"/>
        <v>46163</v>
      </c>
      <c r="I61" s="21">
        <f ca="1">NETWORKDAYS.INTL(Table1[[#This Row],[Activation date]],Table1[[#This Row],[Column3]],1)</f>
        <v>4</v>
      </c>
      <c r="J61" s="20" t="e">
        <f>VLOOKUP(Table1[[#This Row],[PO Order number]],[1]Sheet1!$B$1:$I$125,5,FALSE)</f>
        <v>#N/A</v>
      </c>
      <c r="K61" s="24">
        <f>VLOOKUP(Table1[[#This Row],[PO Order number]],[2]!Table1[#All],11,FALSE)</f>
        <v>0</v>
      </c>
      <c r="L61" s="20" t="e">
        <f>VLOOKUP(Table1[[#This Row],[PO Order number]],[1]Sheet1!$B$1:$I$125,6,FALSE)</f>
        <v>#N/A</v>
      </c>
    </row>
    <row r="62" spans="1:12" x14ac:dyDescent="0.25">
      <c r="A62" s="45" t="s">
        <v>194</v>
      </c>
      <c r="B62" s="65" t="s">
        <v>254</v>
      </c>
      <c r="C62" s="45" t="s">
        <v>29</v>
      </c>
      <c r="D62" s="45" t="s">
        <v>37</v>
      </c>
      <c r="E62" s="24" t="s">
        <v>11</v>
      </c>
      <c r="F62" s="45" t="s">
        <v>56</v>
      </c>
      <c r="G62" s="46">
        <v>46160</v>
      </c>
      <c r="H62" s="8">
        <f t="shared" ca="1" si="3"/>
        <v>46163</v>
      </c>
      <c r="I62" s="21">
        <f ca="1">NETWORKDAYS.INTL(Table1[[#This Row],[Activation date]],Table1[[#This Row],[Column3]],1)</f>
        <v>4</v>
      </c>
      <c r="J62" s="20">
        <f>VLOOKUP(Table1[[#This Row],[PO Order number]],[1]Sheet1!$B$1:$I$125,5,FALSE)</f>
        <v>46174</v>
      </c>
      <c r="K62" s="24">
        <f>VLOOKUP(Table1[[#This Row],[PO Order number]],[2]!Table1[#All],11,FALSE)</f>
        <v>0</v>
      </c>
      <c r="L62" s="20" t="str">
        <f>VLOOKUP(Table1[[#This Row],[PO Order number]],[1]Sheet1!$B$1:$I$125,6,FALSE)</f>
        <v/>
      </c>
    </row>
    <row r="63" spans="1:12" x14ac:dyDescent="0.25">
      <c r="A63" s="45" t="s">
        <v>195</v>
      </c>
      <c r="B63" s="65" t="s">
        <v>255</v>
      </c>
      <c r="C63" s="45" t="s">
        <v>17</v>
      </c>
      <c r="D63" s="45" t="s">
        <v>37</v>
      </c>
      <c r="E63" s="24" t="s">
        <v>11</v>
      </c>
      <c r="F63" s="45" t="s">
        <v>196</v>
      </c>
      <c r="G63" s="46">
        <v>46161</v>
      </c>
      <c r="H63" s="8">
        <f t="shared" ca="1" si="3"/>
        <v>46163</v>
      </c>
      <c r="I63" s="21">
        <f ca="1">NETWORKDAYS.INTL(Table1[[#This Row],[Activation date]],Table1[[#This Row],[Column3]],1)</f>
        <v>3</v>
      </c>
      <c r="J63" s="20" t="e">
        <f>VLOOKUP(Table1[[#This Row],[PO Order number]],[1]Sheet1!$B$1:$I$125,5,FALSE)</f>
        <v>#N/A</v>
      </c>
      <c r="K63" s="24">
        <f>VLOOKUP(Table1[[#This Row],[PO Order number]],[2]!Table1[#All],11,FALSE)</f>
        <v>0</v>
      </c>
      <c r="L63" s="20" t="e">
        <f>VLOOKUP(Table1[[#This Row],[PO Order number]],[1]Sheet1!$B$1:$I$125,6,FALSE)</f>
        <v>#N/A</v>
      </c>
    </row>
    <row r="64" spans="1:12" x14ac:dyDescent="0.25">
      <c r="A64" s="24" t="s">
        <v>153</v>
      </c>
      <c r="B64" s="65" t="s">
        <v>256</v>
      </c>
      <c r="C64" s="24" t="s">
        <v>18</v>
      </c>
      <c r="D64" s="24" t="s">
        <v>154</v>
      </c>
      <c r="E64" s="24" t="s">
        <v>11</v>
      </c>
      <c r="F64" s="1" t="s">
        <v>40</v>
      </c>
      <c r="G64" s="25">
        <v>46155</v>
      </c>
      <c r="H64" s="8">
        <f t="shared" ca="1" si="3"/>
        <v>46163</v>
      </c>
      <c r="I64" s="21">
        <f ca="1">NETWORKDAYS.INTL(Table1[[#This Row],[Activation date]],Table1[[#This Row],[Column3]],1)</f>
        <v>7</v>
      </c>
      <c r="J64" s="20" t="e">
        <f>VLOOKUP(Table1[[#This Row],[PO Order number]],[1]Sheet1!$B$1:$I$125,5,FALSE)</f>
        <v>#N/A</v>
      </c>
      <c r="K64" s="24" t="str">
        <f>VLOOKUP(Table1[[#This Row],[PO Order number]],[2]!Table1[#All],11,FALSE)</f>
        <v>Pendiente pago</v>
      </c>
      <c r="L64" s="20">
        <f>VLOOKUP(Table1[[#This Row],[PO Order number]],[1]Sheet1!$B$1:$I$125,6,FALSE)</f>
        <v>0</v>
      </c>
    </row>
    <row r="65" spans="1:12" x14ac:dyDescent="0.25">
      <c r="A65" s="65" t="s">
        <v>259</v>
      </c>
      <c r="B65" s="65" t="s">
        <v>258</v>
      </c>
      <c r="C65" s="65" t="s">
        <v>10</v>
      </c>
      <c r="D65" s="65" t="s">
        <v>37</v>
      </c>
      <c r="E65" s="24" t="s">
        <v>11</v>
      </c>
      <c r="F65" s="65" t="s">
        <v>106</v>
      </c>
      <c r="G65" s="68">
        <v>46163</v>
      </c>
      <c r="H65" s="8">
        <f t="shared" ca="1" si="3"/>
        <v>46163</v>
      </c>
      <c r="I65" s="67">
        <f ca="1">NETWORKDAYS.INTL(Table1[[#This Row],[Activation date]],Table1[[#This Row],[Column3]],1)</f>
        <v>1</v>
      </c>
      <c r="J65" s="20" t="e">
        <f>VLOOKUP(Table1[[#This Row],[PO Order number]],[1]Sheet1!$B$1:$I$125,5,FALSE)</f>
        <v>#N/A</v>
      </c>
      <c r="K65" s="24">
        <f>VLOOKUP(Table1[[#This Row],[PO Order number]],[2]!Table1[#All],11,FALSE)</f>
        <v>0</v>
      </c>
      <c r="L65" s="20" t="e">
        <f>VLOOKUP(Table1[[#This Row],[PO Order number]],[1]Sheet1!$B$1:$I$125,6,FALSE)</f>
        <v>#N/A</v>
      </c>
    </row>
    <row r="66" spans="1:12" x14ac:dyDescent="0.25">
      <c r="A66" s="65" t="s">
        <v>262</v>
      </c>
      <c r="B66" s="65" t="s">
        <v>260</v>
      </c>
      <c r="C66" s="65" t="s">
        <v>10</v>
      </c>
      <c r="D66" s="65" t="s">
        <v>37</v>
      </c>
      <c r="E66" s="24" t="s">
        <v>11</v>
      </c>
      <c r="F66" s="65" t="s">
        <v>106</v>
      </c>
      <c r="G66" s="68">
        <v>46163</v>
      </c>
      <c r="H66" s="8">
        <f t="shared" ca="1" si="3"/>
        <v>46163</v>
      </c>
      <c r="I66" s="67">
        <f ca="1">NETWORKDAYS.INTL(Table1[[#This Row],[Activation date]],Table1[[#This Row],[Column3]],1)</f>
        <v>1</v>
      </c>
      <c r="J66" s="20" t="e">
        <f>VLOOKUP(Table1[[#This Row],[PO Order number]],[1]Sheet1!$B$1:$I$125,5,FALSE)</f>
        <v>#N/A</v>
      </c>
      <c r="K66" s="24">
        <f>VLOOKUP(Table1[[#This Row],[PO Order number]],[2]!Table1[#All],11,FALSE)</f>
        <v>0</v>
      </c>
      <c r="L66" s="20" t="e">
        <f>VLOOKUP(Table1[[#This Row],[PO Order number]],[1]Sheet1!$B$1:$I$125,6,FALSE)</f>
        <v>#N/A</v>
      </c>
    </row>
    <row r="67" spans="1:12" x14ac:dyDescent="0.25">
      <c r="A67" s="65" t="s">
        <v>263</v>
      </c>
      <c r="B67" s="65" t="s">
        <v>261</v>
      </c>
      <c r="C67" s="65" t="s">
        <v>15</v>
      </c>
      <c r="D67" s="65" t="s">
        <v>38</v>
      </c>
      <c r="E67" s="24" t="s">
        <v>11</v>
      </c>
      <c r="F67" s="65" t="s">
        <v>56</v>
      </c>
      <c r="G67" s="68">
        <v>46162</v>
      </c>
      <c r="H67" s="8">
        <f t="shared" ca="1" si="3"/>
        <v>46163</v>
      </c>
      <c r="I67" s="67">
        <f ca="1">NETWORKDAYS.INTL(Table1[[#This Row],[Activation date]],Table1[[#This Row],[Column3]],1)</f>
        <v>2</v>
      </c>
      <c r="J67" s="20" t="e">
        <f>VLOOKUP(Table1[[#This Row],[PO Order number]],[1]Sheet1!$B$1:$I$125,5,FALSE)</f>
        <v>#N/A</v>
      </c>
      <c r="K67" s="24">
        <f>VLOOKUP(Table1[[#This Row],[PO Order number]],[2]!Table1[#All],11,FALSE)</f>
        <v>0</v>
      </c>
      <c r="L67" s="20" t="e">
        <f>VLOOKUP(Table1[[#This Row],[PO Order number]],[1]Sheet1!$B$1:$I$125,6,FALSE)</f>
        <v>#N/A</v>
      </c>
    </row>
    <row r="68" spans="1:12" x14ac:dyDescent="0.25">
      <c r="A68" s="65" t="s">
        <v>265</v>
      </c>
      <c r="B68" s="65" t="s">
        <v>264</v>
      </c>
      <c r="C68" s="65" t="s">
        <v>266</v>
      </c>
      <c r="D68" s="65" t="s">
        <v>35</v>
      </c>
      <c r="E68" s="24" t="s">
        <v>11</v>
      </c>
      <c r="F68" s="65" t="s">
        <v>69</v>
      </c>
      <c r="G68" s="68">
        <v>46163</v>
      </c>
      <c r="H68" s="8">
        <f t="shared" ca="1" si="3"/>
        <v>46163</v>
      </c>
      <c r="I68" s="67">
        <f ca="1">NETWORKDAYS.INTL(Table1[[#This Row],[Activation date]],Table1[[#This Row],[Column3]],1)</f>
        <v>1</v>
      </c>
      <c r="J68" s="20" t="e">
        <f>VLOOKUP(Table1[[#This Row],[PO Order number]],[1]Sheet1!$B$1:$I$125,5,FALSE)</f>
        <v>#N/A</v>
      </c>
      <c r="K68" s="24">
        <f>VLOOKUP(Table1[[#This Row],[PO Order number]],[2]!Table1[#All],11,FALSE)</f>
        <v>0</v>
      </c>
      <c r="L68" s="20" t="e">
        <f>VLOOKUP(Table1[[#This Row],[PO Order number]],[1]Sheet1!$B$1:$I$125,6,FALSE)</f>
        <v>#N/A</v>
      </c>
    </row>
  </sheetData>
  <phoneticPr fontId="15" type="noConversion"/>
  <conditionalFormatting sqref="I2:I68">
    <cfRule type="expression" dxfId="2" priority="1">
      <formula>AND(I2&gt;=0,I2&lt;=8)</formula>
    </cfRule>
    <cfRule type="expression" dxfId="1" priority="2">
      <formula>AND(I2&gt;8,I2&lt;=15)</formula>
    </cfRule>
    <cfRule type="expression" dxfId="0" priority="3">
      <formula>I2&gt;15</formula>
    </cfRule>
  </conditionalFormatting>
  <hyperlinks>
    <hyperlink ref="A12" r:id="rId1" display="SO-NEL134-260078K" xr:uid="{4C7FF52F-557A-42AB-94BC-2DEEBF8566A2}"/>
    <hyperlink ref="A13" r:id="rId2" display="SO-NEL134-260095K" xr:uid="{F2233224-16EF-47C6-B9B6-4068A7BB098B}"/>
    <hyperlink ref="A11" r:id="rId3" display="SOCA116-260084K" xr:uid="{3C2E6A5C-F0DB-46E3-8117-5A12A89EB9DE}"/>
    <hyperlink ref="A31" r:id="rId4" display="SO-HOU107-260092K" xr:uid="{55C16F6D-730D-4DA7-9855-40F2BBFB8694}"/>
    <hyperlink ref="B12" r:id="rId5" xr:uid="{8A3B9E2D-F546-4790-BCAB-39FFB2689951}"/>
    <hyperlink ref="B13" r:id="rId6" xr:uid="{D45CC35E-855A-4C5D-9919-E70CB4D90D74}"/>
    <hyperlink ref="B11" r:id="rId7" xr:uid="{86D5FD4B-17EB-4630-A147-042238C93B97}"/>
    <hyperlink ref="B31" r:id="rId8" xr:uid="{6E08F318-3B00-4B7E-8185-00E5ADF1635C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EAEE-C61C-427F-9324-4C5BCED7FE76}">
  <sheetPr>
    <pageSetUpPr autoPageBreaks="0"/>
  </sheetPr>
  <dimension ref="A1:J30"/>
  <sheetViews>
    <sheetView tabSelected="1" zoomScale="80" zoomScaleNormal="80" workbookViewId="0">
      <selection activeCell="C34" sqref="C34"/>
    </sheetView>
  </sheetViews>
  <sheetFormatPr defaultRowHeight="15.75" x14ac:dyDescent="0.25"/>
  <cols>
    <col min="1" max="1" width="20.375" style="1" customWidth="1"/>
    <col min="2" max="2" width="15.75" style="1" customWidth="1"/>
    <col min="3" max="3" width="15" style="1" customWidth="1"/>
    <col min="4" max="4" width="23.375" style="1" customWidth="1"/>
    <col min="5" max="5" width="24.25" style="1" customWidth="1"/>
    <col min="6" max="6" width="13.25" style="5" customWidth="1"/>
    <col min="7" max="8" width="15.375" style="2" customWidth="1"/>
    <col min="9" max="9" width="14.125" style="5" customWidth="1"/>
    <col min="10" max="10" width="24.125" style="61" customWidth="1"/>
    <col min="11" max="14" width="9" style="1"/>
    <col min="15" max="15" width="8.25" style="1" customWidth="1"/>
    <col min="16" max="16" width="26.625" style="1" customWidth="1"/>
    <col min="17" max="17" width="18.375" style="1" customWidth="1"/>
    <col min="18" max="18" width="14" style="1" customWidth="1"/>
    <col min="19" max="19" width="18.125" style="1" customWidth="1"/>
    <col min="20" max="16384" width="9" style="1"/>
  </cols>
  <sheetData>
    <row r="1" spans="1:10" x14ac:dyDescent="0.25">
      <c r="A1" s="36" t="s">
        <v>0</v>
      </c>
      <c r="B1" s="7" t="s">
        <v>1</v>
      </c>
      <c r="C1" s="7" t="s">
        <v>34</v>
      </c>
      <c r="D1" s="36" t="s">
        <v>2</v>
      </c>
      <c r="E1" s="36" t="s">
        <v>3</v>
      </c>
      <c r="F1" s="17" t="s">
        <v>4</v>
      </c>
      <c r="G1" s="18" t="s">
        <v>43</v>
      </c>
      <c r="H1" s="18" t="s">
        <v>41</v>
      </c>
      <c r="I1" s="37" t="s">
        <v>42</v>
      </c>
      <c r="J1" s="53" t="s">
        <v>197</v>
      </c>
    </row>
    <row r="2" spans="1:10" x14ac:dyDescent="0.25">
      <c r="A2" s="65" t="s">
        <v>200</v>
      </c>
      <c r="B2" s="65" t="s">
        <v>21</v>
      </c>
      <c r="C2" s="65" t="s">
        <v>39</v>
      </c>
      <c r="D2" s="3" t="s">
        <v>55</v>
      </c>
      <c r="E2" s="65" t="s">
        <v>8</v>
      </c>
      <c r="F2" s="69">
        <v>100</v>
      </c>
      <c r="G2" s="68">
        <v>46163</v>
      </c>
      <c r="H2" s="68">
        <f t="shared" ref="H2:H30" ca="1" si="0">TODAY()</f>
        <v>46163</v>
      </c>
      <c r="I2" s="69">
        <f ca="1">_xlfn.DAYS(Table2[[#This Row],[Column3]],Table2[[#This Row],[Inbound Date ]])</f>
        <v>0</v>
      </c>
      <c r="J2" s="70"/>
    </row>
    <row r="3" spans="1:10" x14ac:dyDescent="0.25">
      <c r="A3" s="65" t="s">
        <v>267</v>
      </c>
      <c r="B3" s="24" t="s">
        <v>27</v>
      </c>
      <c r="C3" s="24" t="s">
        <v>36</v>
      </c>
      <c r="D3" s="3" t="s">
        <v>55</v>
      </c>
      <c r="E3" s="24" t="s">
        <v>14</v>
      </c>
      <c r="F3" s="26">
        <v>98</v>
      </c>
      <c r="G3" s="25">
        <v>46141</v>
      </c>
      <c r="H3" s="25">
        <f t="shared" ca="1" si="0"/>
        <v>46163</v>
      </c>
      <c r="I3" s="26">
        <f ca="1">_xlfn.DAYS(Table2[[#This Row],[Column3]],Table2[[#This Row],[Inbound Date ]])</f>
        <v>22</v>
      </c>
      <c r="J3" s="55"/>
    </row>
    <row r="4" spans="1:10" x14ac:dyDescent="0.25">
      <c r="A4" s="65" t="s">
        <v>268</v>
      </c>
      <c r="B4" s="24" t="s">
        <v>16</v>
      </c>
      <c r="C4" s="24" t="s">
        <v>36</v>
      </c>
      <c r="D4" s="3" t="s">
        <v>55</v>
      </c>
      <c r="E4" s="24" t="s">
        <v>56</v>
      </c>
      <c r="F4" s="26">
        <v>100</v>
      </c>
      <c r="G4" s="25">
        <v>46147</v>
      </c>
      <c r="H4" s="25">
        <f t="shared" ca="1" si="0"/>
        <v>46163</v>
      </c>
      <c r="I4" s="26">
        <f ca="1">_xlfn.DAYS(Table2[[#This Row],[Column3]],Table2[[#This Row],[Inbound Date ]])</f>
        <v>16</v>
      </c>
      <c r="J4" s="55"/>
    </row>
    <row r="5" spans="1:10" x14ac:dyDescent="0.25">
      <c r="A5" s="65" t="s">
        <v>270</v>
      </c>
      <c r="B5" s="24" t="s">
        <v>7</v>
      </c>
      <c r="C5" s="24" t="s">
        <v>35</v>
      </c>
      <c r="D5" s="3" t="s">
        <v>55</v>
      </c>
      <c r="E5" s="24" t="s">
        <v>8</v>
      </c>
      <c r="F5" s="26">
        <v>79</v>
      </c>
      <c r="G5" s="25">
        <v>46153</v>
      </c>
      <c r="H5" s="25">
        <f t="shared" ca="1" si="0"/>
        <v>46163</v>
      </c>
      <c r="I5" s="26">
        <f ca="1">_xlfn.DAYS(Table2[[#This Row],[Column3]],Table2[[#This Row],[Inbound Date ]])</f>
        <v>10</v>
      </c>
      <c r="J5" s="55"/>
    </row>
    <row r="6" spans="1:10" x14ac:dyDescent="0.25">
      <c r="A6" s="65" t="s">
        <v>271</v>
      </c>
      <c r="B6" s="24" t="s">
        <v>7</v>
      </c>
      <c r="C6" s="24" t="s">
        <v>38</v>
      </c>
      <c r="D6" s="3" t="s">
        <v>55</v>
      </c>
      <c r="E6" s="24" t="s">
        <v>56</v>
      </c>
      <c r="F6" s="26">
        <v>93</v>
      </c>
      <c r="G6" s="25">
        <v>46154</v>
      </c>
      <c r="H6" s="25">
        <f t="shared" ca="1" si="0"/>
        <v>46163</v>
      </c>
      <c r="I6" s="26">
        <f ca="1">_xlfn.DAYS(Table2[[#This Row],[Column3]],Table2[[#This Row],[Inbound Date ]])</f>
        <v>9</v>
      </c>
      <c r="J6" s="55"/>
    </row>
    <row r="7" spans="1:10" x14ac:dyDescent="0.25">
      <c r="A7" s="65" t="s">
        <v>274</v>
      </c>
      <c r="B7" s="24" t="s">
        <v>15</v>
      </c>
      <c r="C7" s="24" t="s">
        <v>38</v>
      </c>
      <c r="D7" s="3" t="s">
        <v>55</v>
      </c>
      <c r="E7" s="24" t="s">
        <v>56</v>
      </c>
      <c r="F7" s="26">
        <v>100</v>
      </c>
      <c r="G7" s="25">
        <v>46154</v>
      </c>
      <c r="H7" s="25">
        <f t="shared" ca="1" si="0"/>
        <v>46163</v>
      </c>
      <c r="I7" s="26">
        <f ca="1">_xlfn.DAYS(Table2[[#This Row],[Column3]],Table2[[#This Row],[Inbound Date ]])</f>
        <v>9</v>
      </c>
      <c r="J7" s="62">
        <v>46163</v>
      </c>
    </row>
    <row r="8" spans="1:10" x14ac:dyDescent="0.25">
      <c r="A8" s="65" t="s">
        <v>159</v>
      </c>
      <c r="B8" s="33" t="s">
        <v>15</v>
      </c>
      <c r="C8" s="1" t="s">
        <v>54</v>
      </c>
      <c r="D8" s="3" t="s">
        <v>55</v>
      </c>
      <c r="E8" s="24" t="s">
        <v>56</v>
      </c>
      <c r="F8" s="34">
        <v>100</v>
      </c>
      <c r="G8" s="35">
        <v>46149</v>
      </c>
      <c r="H8" s="25">
        <f t="shared" ca="1" si="0"/>
        <v>46163</v>
      </c>
      <c r="I8" s="34">
        <f ca="1">_xlfn.DAYS(Table2[[#This Row],[Column3]],Table2[[#This Row],[Inbound Date ]])</f>
        <v>14</v>
      </c>
      <c r="J8" s="58"/>
    </row>
    <row r="9" spans="1:10" x14ac:dyDescent="0.25">
      <c r="A9" s="38" t="s">
        <v>161</v>
      </c>
      <c r="B9" s="33" t="s">
        <v>17</v>
      </c>
      <c r="C9" s="38" t="s">
        <v>170</v>
      </c>
      <c r="D9" s="38" t="s">
        <v>55</v>
      </c>
      <c r="E9" s="38" t="s">
        <v>40</v>
      </c>
      <c r="F9" s="34">
        <v>100</v>
      </c>
      <c r="G9" s="35">
        <v>46141</v>
      </c>
      <c r="H9" s="25">
        <f t="shared" ca="1" si="0"/>
        <v>46163</v>
      </c>
      <c r="I9" s="40">
        <f ca="1">_xlfn.DAYS(Table2[[#This Row],[Column3]],Table2[[#This Row],[Inbound Date ]])</f>
        <v>22</v>
      </c>
      <c r="J9" s="56"/>
    </row>
    <row r="10" spans="1:10" x14ac:dyDescent="0.25">
      <c r="A10" s="38" t="s">
        <v>162</v>
      </c>
      <c r="B10" s="33" t="s">
        <v>17</v>
      </c>
      <c r="C10" s="38" t="s">
        <v>35</v>
      </c>
      <c r="D10" s="38" t="s">
        <v>55</v>
      </c>
      <c r="E10" s="38" t="s">
        <v>57</v>
      </c>
      <c r="F10" s="34">
        <v>100</v>
      </c>
      <c r="G10" s="35">
        <v>46134</v>
      </c>
      <c r="H10" s="25">
        <f t="shared" ca="1" si="0"/>
        <v>46163</v>
      </c>
      <c r="I10" s="40">
        <f ca="1">_xlfn.DAYS(Table2[[#This Row],[Column3]],Table2[[#This Row],[Inbound Date ]])</f>
        <v>29</v>
      </c>
      <c r="J10" s="56"/>
    </row>
    <row r="11" spans="1:10" x14ac:dyDescent="0.25">
      <c r="A11" s="38" t="s">
        <v>163</v>
      </c>
      <c r="B11" s="33" t="s">
        <v>17</v>
      </c>
      <c r="C11" s="38" t="s">
        <v>54</v>
      </c>
      <c r="D11" s="38" t="s">
        <v>55</v>
      </c>
      <c r="E11" s="38" t="s">
        <v>56</v>
      </c>
      <c r="F11" s="34">
        <v>100</v>
      </c>
      <c r="G11" s="35">
        <v>46148</v>
      </c>
      <c r="H11" s="25">
        <f t="shared" ca="1" si="0"/>
        <v>46163</v>
      </c>
      <c r="I11" s="39">
        <f ca="1">_xlfn.DAYS(Table2[[#This Row],[Column3]],Table2[[#This Row],[Inbound Date ]])</f>
        <v>15</v>
      </c>
      <c r="J11" s="56"/>
    </row>
    <row r="12" spans="1:10" x14ac:dyDescent="0.25">
      <c r="A12" s="65" t="s">
        <v>275</v>
      </c>
      <c r="B12" s="42" t="s">
        <v>16</v>
      </c>
      <c r="C12" s="42" t="s">
        <v>35</v>
      </c>
      <c r="D12" s="38" t="s">
        <v>55</v>
      </c>
      <c r="E12" s="24" t="s">
        <v>40</v>
      </c>
      <c r="F12" s="44">
        <v>99</v>
      </c>
      <c r="G12" s="43">
        <v>46155</v>
      </c>
      <c r="H12" s="25">
        <f t="shared" ca="1" si="0"/>
        <v>46163</v>
      </c>
      <c r="I12" s="44">
        <f ca="1">_xlfn.DAYS(Table2[[#This Row],[Column3]],Table2[[#This Row],[Inbound Date ]])</f>
        <v>8</v>
      </c>
      <c r="J12" s="59"/>
    </row>
    <row r="13" spans="1:10" x14ac:dyDescent="0.25">
      <c r="A13" s="65" t="s">
        <v>285</v>
      </c>
      <c r="B13" s="45" t="s">
        <v>15</v>
      </c>
      <c r="C13" s="45" t="s">
        <v>38</v>
      </c>
      <c r="D13" s="38" t="s">
        <v>55</v>
      </c>
      <c r="E13" s="45" t="s">
        <v>8</v>
      </c>
      <c r="F13" s="48">
        <v>63</v>
      </c>
      <c r="G13" s="46">
        <v>46161</v>
      </c>
      <c r="H13" s="25">
        <f t="shared" ca="1" si="0"/>
        <v>46163</v>
      </c>
      <c r="I13" s="48">
        <f ca="1">_xlfn.DAYS(Table2[[#This Row],[Column3]],Table2[[#This Row],[Inbound Date ]])</f>
        <v>2</v>
      </c>
      <c r="J13" s="60"/>
    </row>
    <row r="14" spans="1:10" x14ac:dyDescent="0.25">
      <c r="A14" s="65" t="s">
        <v>210</v>
      </c>
      <c r="B14" s="65" t="s">
        <v>15</v>
      </c>
      <c r="C14" s="65" t="s">
        <v>38</v>
      </c>
      <c r="D14" s="38" t="s">
        <v>55</v>
      </c>
      <c r="E14" s="65" t="s">
        <v>56</v>
      </c>
      <c r="F14" s="69">
        <v>100</v>
      </c>
      <c r="G14" s="68">
        <v>46162</v>
      </c>
      <c r="H14" s="68">
        <f t="shared" ca="1" si="0"/>
        <v>46163</v>
      </c>
      <c r="I14" s="69">
        <f ca="1">_xlfn.DAYS(Table2[[#This Row],[Column3]],Table2[[#This Row],[Inbound Date ]])</f>
        <v>1</v>
      </c>
      <c r="J14" s="70"/>
    </row>
    <row r="15" spans="1:10" x14ac:dyDescent="0.25">
      <c r="A15" s="65" t="s">
        <v>238</v>
      </c>
      <c r="B15" s="65" t="s">
        <v>117</v>
      </c>
      <c r="C15" s="65" t="s">
        <v>152</v>
      </c>
      <c r="D15" s="38" t="s">
        <v>55</v>
      </c>
      <c r="E15" s="65" t="s">
        <v>40</v>
      </c>
      <c r="F15" s="69">
        <v>74</v>
      </c>
      <c r="G15" s="68">
        <v>46163</v>
      </c>
      <c r="H15" s="68">
        <f t="shared" ca="1" si="0"/>
        <v>46163</v>
      </c>
      <c r="I15" s="69">
        <f ca="1">_xlfn.DAYS(Table2[[#This Row],[Column3]],Table2[[#This Row],[Inbound Date ]])</f>
        <v>0</v>
      </c>
      <c r="J15" s="70"/>
    </row>
    <row r="16" spans="1:10" x14ac:dyDescent="0.25">
      <c r="A16" s="65" t="s">
        <v>209</v>
      </c>
      <c r="B16" s="65" t="s">
        <v>15</v>
      </c>
      <c r="C16" s="65" t="s">
        <v>38</v>
      </c>
      <c r="D16" s="38" t="s">
        <v>55</v>
      </c>
      <c r="E16" s="65" t="s">
        <v>56</v>
      </c>
      <c r="F16" s="69">
        <v>91</v>
      </c>
      <c r="G16" s="68">
        <v>46163</v>
      </c>
      <c r="H16" s="68">
        <f t="shared" ca="1" si="0"/>
        <v>46163</v>
      </c>
      <c r="I16" s="69">
        <f ca="1">_xlfn.DAYS(Table2[[#This Row],[Column3]],Table2[[#This Row],[Inbound Date ]])</f>
        <v>0</v>
      </c>
      <c r="J16" s="70"/>
    </row>
    <row r="17" spans="1:10" x14ac:dyDescent="0.25">
      <c r="A17" s="65" t="s">
        <v>157</v>
      </c>
      <c r="B17" s="65" t="s">
        <v>15</v>
      </c>
      <c r="C17" s="65" t="s">
        <v>38</v>
      </c>
      <c r="D17" s="38" t="s">
        <v>55</v>
      </c>
      <c r="E17" s="65" t="s">
        <v>56</v>
      </c>
      <c r="F17" s="69">
        <v>100</v>
      </c>
      <c r="G17" s="68">
        <v>46163</v>
      </c>
      <c r="H17" s="68">
        <f t="shared" ca="1" si="0"/>
        <v>46163</v>
      </c>
      <c r="I17" s="69">
        <f ca="1">_xlfn.DAYS(Table2[[#This Row],[Column3]],Table2[[#This Row],[Inbound Date ]])</f>
        <v>0</v>
      </c>
      <c r="J17" s="70"/>
    </row>
    <row r="18" spans="1:10" x14ac:dyDescent="0.25">
      <c r="A18" s="65" t="s">
        <v>269</v>
      </c>
      <c r="B18" s="24" t="s">
        <v>15</v>
      </c>
      <c r="C18" s="24" t="s">
        <v>38</v>
      </c>
      <c r="D18" s="41" t="s">
        <v>30</v>
      </c>
      <c r="E18" s="24" t="s">
        <v>56</v>
      </c>
      <c r="F18" s="26">
        <v>100</v>
      </c>
      <c r="G18" s="25">
        <v>46149</v>
      </c>
      <c r="H18" s="25">
        <f t="shared" ca="1" si="0"/>
        <v>46163</v>
      </c>
      <c r="I18" s="26">
        <f ca="1">_xlfn.DAYS(Table2[[#This Row],[Column3]],Table2[[#This Row],[Inbound Date ]])</f>
        <v>14</v>
      </c>
      <c r="J18" s="57">
        <v>46164</v>
      </c>
    </row>
    <row r="19" spans="1:10" x14ac:dyDescent="0.25">
      <c r="A19" s="65" t="s">
        <v>272</v>
      </c>
      <c r="B19" s="24" t="s">
        <v>15</v>
      </c>
      <c r="C19" s="24" t="s">
        <v>38</v>
      </c>
      <c r="D19" s="41" t="s">
        <v>30</v>
      </c>
      <c r="E19" s="24" t="s">
        <v>56</v>
      </c>
      <c r="F19" s="26">
        <v>100</v>
      </c>
      <c r="G19" s="25">
        <v>46154</v>
      </c>
      <c r="H19" s="25">
        <f t="shared" ca="1" si="0"/>
        <v>46163</v>
      </c>
      <c r="I19" s="26">
        <f ca="1">_xlfn.DAYS(Table2[[#This Row],[Column3]],Table2[[#This Row],[Inbound Date ]])</f>
        <v>9</v>
      </c>
      <c r="J19" s="55"/>
    </row>
    <row r="20" spans="1:10" x14ac:dyDescent="0.25">
      <c r="A20" s="65" t="s">
        <v>273</v>
      </c>
      <c r="B20" s="24" t="s">
        <v>15</v>
      </c>
      <c r="C20" s="24" t="s">
        <v>38</v>
      </c>
      <c r="D20" s="41" t="s">
        <v>30</v>
      </c>
      <c r="E20" s="24" t="s">
        <v>56</v>
      </c>
      <c r="F20" s="26">
        <v>100</v>
      </c>
      <c r="G20" s="25">
        <v>46154</v>
      </c>
      <c r="H20" s="25">
        <f t="shared" ca="1" si="0"/>
        <v>46163</v>
      </c>
      <c r="I20" s="26">
        <f ca="1">_xlfn.DAYS(Table2[[#This Row],[Column3]],Table2[[#This Row],[Inbound Date ]])</f>
        <v>9</v>
      </c>
      <c r="J20" s="55"/>
    </row>
    <row r="21" spans="1:10" x14ac:dyDescent="0.25">
      <c r="A21" s="65" t="s">
        <v>276</v>
      </c>
      <c r="B21" s="45" t="s">
        <v>15</v>
      </c>
      <c r="C21" s="45" t="s">
        <v>38</v>
      </c>
      <c r="D21" s="41" t="s">
        <v>30</v>
      </c>
      <c r="E21" s="45" t="s">
        <v>56</v>
      </c>
      <c r="F21" s="48">
        <v>90</v>
      </c>
      <c r="G21" s="46">
        <v>46161</v>
      </c>
      <c r="H21" s="25">
        <f t="shared" ca="1" si="0"/>
        <v>46163</v>
      </c>
      <c r="I21" s="48">
        <f ca="1">_xlfn.DAYS(Table2[[#This Row],[Column3]],Table2[[#This Row],[Inbound Date ]])</f>
        <v>2</v>
      </c>
      <c r="J21" s="60"/>
    </row>
    <row r="22" spans="1:10" x14ac:dyDescent="0.25">
      <c r="A22" s="65" t="s">
        <v>277</v>
      </c>
      <c r="B22" s="45" t="s">
        <v>15</v>
      </c>
      <c r="C22" s="45" t="s">
        <v>38</v>
      </c>
      <c r="D22" s="41" t="s">
        <v>30</v>
      </c>
      <c r="E22" s="45" t="s">
        <v>56</v>
      </c>
      <c r="F22" s="48">
        <v>90</v>
      </c>
      <c r="G22" s="46">
        <v>46161</v>
      </c>
      <c r="H22" s="25">
        <f t="shared" ca="1" si="0"/>
        <v>46163</v>
      </c>
      <c r="I22" s="48">
        <f ca="1">_xlfn.DAYS(Table2[[#This Row],[Column3]],Table2[[#This Row],[Inbound Date ]])</f>
        <v>2</v>
      </c>
      <c r="J22" s="60"/>
    </row>
    <row r="23" spans="1:10" x14ac:dyDescent="0.25">
      <c r="A23" s="66" t="s">
        <v>278</v>
      </c>
      <c r="B23" s="49" t="s">
        <v>16</v>
      </c>
      <c r="C23" s="49" t="s">
        <v>53</v>
      </c>
      <c r="D23" s="50" t="s">
        <v>30</v>
      </c>
      <c r="E23" s="51" t="s">
        <v>40</v>
      </c>
      <c r="F23" s="29">
        <v>100</v>
      </c>
      <c r="G23" s="52">
        <v>46105</v>
      </c>
      <c r="H23" s="25">
        <f t="shared" ca="1" si="0"/>
        <v>46163</v>
      </c>
      <c r="I23" s="29">
        <f ca="1">_xlfn.DAYS(Table2[[#This Row],[Column3]],Table2[[#This Row],[Inbound Date ]])</f>
        <v>58</v>
      </c>
      <c r="J23" s="54"/>
    </row>
    <row r="24" spans="1:10" x14ac:dyDescent="0.25">
      <c r="A24" s="38" t="s">
        <v>165</v>
      </c>
      <c r="B24" s="33" t="s">
        <v>17</v>
      </c>
      <c r="C24" s="38" t="s">
        <v>170</v>
      </c>
      <c r="D24" s="41" t="s">
        <v>30</v>
      </c>
      <c r="E24" s="38" t="s">
        <v>40</v>
      </c>
      <c r="F24" s="34">
        <v>100</v>
      </c>
      <c r="G24" s="35">
        <v>46135</v>
      </c>
      <c r="H24" s="25">
        <f t="shared" ca="1" si="0"/>
        <v>46163</v>
      </c>
      <c r="I24" s="40">
        <f ca="1">_xlfn.DAYS(Table2[[#This Row],[Column3]],Table2[[#This Row],[Inbound Date ]])</f>
        <v>28</v>
      </c>
      <c r="J24" s="56"/>
    </row>
    <row r="25" spans="1:10" x14ac:dyDescent="0.25">
      <c r="A25" s="65" t="s">
        <v>279</v>
      </c>
      <c r="B25" s="42" t="s">
        <v>16</v>
      </c>
      <c r="C25" s="42" t="s">
        <v>37</v>
      </c>
      <c r="D25" s="41" t="s">
        <v>30</v>
      </c>
      <c r="E25" s="24" t="s">
        <v>56</v>
      </c>
      <c r="F25" s="44">
        <v>100</v>
      </c>
      <c r="G25" s="43">
        <v>46155</v>
      </c>
      <c r="H25" s="25">
        <f t="shared" ca="1" si="0"/>
        <v>46163</v>
      </c>
      <c r="I25" s="44">
        <f ca="1">_xlfn.DAYS(Table2[[#This Row],[Column3]],Table2[[#This Row],[Inbound Date ]])</f>
        <v>8</v>
      </c>
      <c r="J25" s="59"/>
    </row>
    <row r="26" spans="1:10" x14ac:dyDescent="0.25">
      <c r="A26" s="65" t="s">
        <v>280</v>
      </c>
      <c r="B26" s="42" t="s">
        <v>15</v>
      </c>
      <c r="C26" s="42" t="s">
        <v>38</v>
      </c>
      <c r="D26" s="41" t="s">
        <v>30</v>
      </c>
      <c r="E26" s="42" t="s">
        <v>56</v>
      </c>
      <c r="F26" s="44">
        <v>100</v>
      </c>
      <c r="G26" s="43">
        <v>46156</v>
      </c>
      <c r="H26" s="25">
        <f t="shared" ca="1" si="0"/>
        <v>46163</v>
      </c>
      <c r="I26" s="44">
        <f ca="1">_xlfn.DAYS(Table2[[#This Row],[Column3]],Table2[[#This Row],[Inbound Date ]])</f>
        <v>7</v>
      </c>
      <c r="J26" s="63">
        <v>46164</v>
      </c>
    </row>
    <row r="27" spans="1:10" x14ac:dyDescent="0.25">
      <c r="A27" s="65" t="s">
        <v>282</v>
      </c>
      <c r="B27" s="42" t="s">
        <v>15</v>
      </c>
      <c r="C27" s="42" t="s">
        <v>38</v>
      </c>
      <c r="D27" s="41" t="s">
        <v>30</v>
      </c>
      <c r="E27" s="42" t="s">
        <v>56</v>
      </c>
      <c r="F27" s="44">
        <v>100</v>
      </c>
      <c r="G27" s="43">
        <v>46157</v>
      </c>
      <c r="H27" s="25">
        <f t="shared" ca="1" si="0"/>
        <v>46163</v>
      </c>
      <c r="I27" s="44">
        <f ca="1">_xlfn.DAYS(Table2[[#This Row],[Column3]],Table2[[#This Row],[Inbound Date ]])</f>
        <v>6</v>
      </c>
      <c r="J27" s="63">
        <v>46169</v>
      </c>
    </row>
    <row r="28" spans="1:10" x14ac:dyDescent="0.25">
      <c r="A28" s="65" t="s">
        <v>283</v>
      </c>
      <c r="B28" s="42" t="s">
        <v>15</v>
      </c>
      <c r="C28" s="42" t="s">
        <v>38</v>
      </c>
      <c r="D28" s="41" t="s">
        <v>30</v>
      </c>
      <c r="E28" s="42" t="s">
        <v>8</v>
      </c>
      <c r="F28" s="44">
        <v>94</v>
      </c>
      <c r="G28" s="43">
        <v>46156</v>
      </c>
      <c r="H28" s="25">
        <f t="shared" ca="1" si="0"/>
        <v>46163</v>
      </c>
      <c r="I28" s="44">
        <f ca="1">_xlfn.DAYS(Table2[[#This Row],[Column3]],Table2[[#This Row],[Inbound Date ]])</f>
        <v>7</v>
      </c>
      <c r="J28" s="63">
        <v>46170</v>
      </c>
    </row>
    <row r="29" spans="1:10" x14ac:dyDescent="0.25">
      <c r="A29" s="65" t="s">
        <v>284</v>
      </c>
      <c r="B29" s="42" t="s">
        <v>17</v>
      </c>
      <c r="C29" s="42" t="s">
        <v>38</v>
      </c>
      <c r="D29" s="41" t="s">
        <v>30</v>
      </c>
      <c r="E29" s="42" t="s">
        <v>56</v>
      </c>
      <c r="F29" s="44">
        <v>100</v>
      </c>
      <c r="G29" s="43">
        <v>46156</v>
      </c>
      <c r="H29" s="25">
        <f t="shared" ca="1" si="0"/>
        <v>46163</v>
      </c>
      <c r="I29" s="44">
        <f ca="1">_xlfn.DAYS(Table2[[#This Row],[Column3]],Table2[[#This Row],[Inbound Date ]])</f>
        <v>7</v>
      </c>
      <c r="J29" s="59"/>
    </row>
    <row r="30" spans="1:10" x14ac:dyDescent="0.25">
      <c r="A30" s="65" t="s">
        <v>169</v>
      </c>
      <c r="B30" s="65" t="s">
        <v>17</v>
      </c>
      <c r="C30" s="42" t="s">
        <v>38</v>
      </c>
      <c r="D30" s="41" t="s">
        <v>30</v>
      </c>
      <c r="E30" s="65" t="s">
        <v>56</v>
      </c>
      <c r="F30" s="69">
        <v>100</v>
      </c>
      <c r="G30" s="68">
        <v>46142</v>
      </c>
      <c r="H30" s="68">
        <f t="shared" ca="1" si="0"/>
        <v>46163</v>
      </c>
      <c r="I30" s="69">
        <f ca="1">_xlfn.DAYS(Table2[[#This Row],[Column3]],Table2[[#This Row],[Inbound Date ]])</f>
        <v>21</v>
      </c>
      <c r="J30" s="70"/>
    </row>
  </sheetData>
  <hyperlinks>
    <hyperlink ref="A6" r:id="rId1" xr:uid="{03659FF0-BC3B-4B6C-8C5E-B0EE68A24B39}"/>
    <hyperlink ref="A19" r:id="rId2" xr:uid="{7A8363B1-08F0-4946-AC3A-504FD86DF9E4}"/>
    <hyperlink ref="A20" r:id="rId3" xr:uid="{AC1A333C-FB87-4D77-B0D0-34C109371383}"/>
    <hyperlink ref="A7" r:id="rId4" xr:uid="{F3C9F767-2971-463B-93DC-80C02A9B94BA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AA0B-E1AE-4658-8210-253AD39441B8}">
  <sheetPr>
    <pageSetUpPr autoPageBreaks="0"/>
  </sheetPr>
  <dimension ref="A1:J35"/>
  <sheetViews>
    <sheetView zoomScale="77" zoomScaleNormal="77" workbookViewId="0">
      <selection activeCell="I35" sqref="I35"/>
    </sheetView>
  </sheetViews>
  <sheetFormatPr defaultRowHeight="15.75" x14ac:dyDescent="0.25"/>
  <cols>
    <col min="1" max="1" width="8.875" style="1" customWidth="1"/>
    <col min="2" max="2" width="21" style="1" customWidth="1"/>
    <col min="3" max="3" width="14" style="1" customWidth="1"/>
    <col min="4" max="4" width="12.125" style="1" customWidth="1"/>
    <col min="5" max="5" width="18.25" style="1" customWidth="1"/>
    <col min="6" max="6" width="13.75" style="1" customWidth="1"/>
    <col min="7" max="7" width="14" style="5" bestFit="1" customWidth="1"/>
    <col min="8" max="8" width="13.375" style="16" bestFit="1" customWidth="1"/>
    <col min="9" max="9" width="16.125" style="16" customWidth="1"/>
    <col min="10" max="10" width="13.375" style="1" customWidth="1"/>
    <col min="11" max="16384" width="9" style="1"/>
  </cols>
  <sheetData>
    <row r="1" spans="1:10" x14ac:dyDescent="0.25">
      <c r="A1" s="9" t="s">
        <v>58</v>
      </c>
      <c r="B1" s="9" t="s">
        <v>2</v>
      </c>
      <c r="C1" s="9" t="s">
        <v>59</v>
      </c>
      <c r="D1" s="9" t="s">
        <v>60</v>
      </c>
      <c r="E1" s="9" t="s">
        <v>1</v>
      </c>
      <c r="F1" s="9" t="s">
        <v>61</v>
      </c>
      <c r="G1" s="32" t="s">
        <v>62</v>
      </c>
      <c r="H1" s="15" t="s">
        <v>63</v>
      </c>
      <c r="I1" s="15" t="s">
        <v>64</v>
      </c>
      <c r="J1" s="10" t="s">
        <v>65</v>
      </c>
    </row>
    <row r="2" spans="1:10" s="12" customFormat="1" ht="15" hidden="1" x14ac:dyDescent="0.25">
      <c r="A2" s="11" t="s">
        <v>44</v>
      </c>
      <c r="B2" s="11" t="s">
        <v>28</v>
      </c>
      <c r="C2" s="11" t="s">
        <v>29</v>
      </c>
      <c r="D2" s="11" t="s">
        <v>37</v>
      </c>
      <c r="E2" s="11" t="s">
        <v>55</v>
      </c>
      <c r="F2" s="11" t="s">
        <v>56</v>
      </c>
      <c r="G2" s="19">
        <v>100</v>
      </c>
      <c r="H2" s="14">
        <v>46122</v>
      </c>
      <c r="I2" s="14">
        <v>46128</v>
      </c>
      <c r="J2" s="11">
        <f>_xlfn.DAYS(I2,H2)</f>
        <v>6</v>
      </c>
    </row>
    <row r="3" spans="1:10" hidden="1" x14ac:dyDescent="0.25">
      <c r="A3" s="11" t="s">
        <v>44</v>
      </c>
      <c r="B3" s="11" t="s">
        <v>45</v>
      </c>
      <c r="C3" s="11" t="s">
        <v>16</v>
      </c>
      <c r="D3" s="11" t="s">
        <v>53</v>
      </c>
      <c r="E3" s="11" t="s">
        <v>148</v>
      </c>
      <c r="F3" s="11" t="s">
        <v>57</v>
      </c>
      <c r="G3" s="19">
        <v>100</v>
      </c>
      <c r="H3" s="14">
        <v>46107</v>
      </c>
      <c r="I3" s="25">
        <v>46149</v>
      </c>
      <c r="J3" s="11">
        <f>_xlfn.DAYS(Table3[[#This Row],[Out of Warehouse]],Table3[[#This Row],[Inbound Date]])</f>
        <v>42</v>
      </c>
    </row>
    <row r="4" spans="1:10" hidden="1" x14ac:dyDescent="0.25">
      <c r="A4" s="11" t="s">
        <v>44</v>
      </c>
      <c r="B4" s="11" t="s">
        <v>46</v>
      </c>
      <c r="C4" s="11" t="s">
        <v>16</v>
      </c>
      <c r="D4" s="11" t="s">
        <v>53</v>
      </c>
      <c r="E4" s="11" t="s">
        <v>148</v>
      </c>
      <c r="F4" s="11" t="s">
        <v>57</v>
      </c>
      <c r="G4" s="19">
        <v>100</v>
      </c>
      <c r="H4" s="14">
        <v>46112</v>
      </c>
      <c r="I4" s="25">
        <v>46148</v>
      </c>
      <c r="J4" s="11">
        <f>_xlfn.DAYS(Table3[[#This Row],[Out of Warehouse]],Table3[[#This Row],[Inbound Date]])</f>
        <v>36</v>
      </c>
    </row>
    <row r="5" spans="1:10" hidden="1" x14ac:dyDescent="0.25">
      <c r="A5" s="11" t="s">
        <v>44</v>
      </c>
      <c r="B5" s="11" t="s">
        <v>47</v>
      </c>
      <c r="C5" s="11" t="s">
        <v>16</v>
      </c>
      <c r="D5" s="11" t="s">
        <v>53</v>
      </c>
      <c r="E5" s="11" t="s">
        <v>148</v>
      </c>
      <c r="F5" s="11" t="s">
        <v>57</v>
      </c>
      <c r="G5" s="19">
        <v>100</v>
      </c>
      <c r="H5" s="14">
        <v>46113</v>
      </c>
      <c r="I5" s="25">
        <v>46149</v>
      </c>
      <c r="J5" s="11">
        <f>_xlfn.DAYS(Table3[[#This Row],[Out of Warehouse]],Table3[[#This Row],[Inbound Date]])</f>
        <v>36</v>
      </c>
    </row>
    <row r="6" spans="1:10" hidden="1" x14ac:dyDescent="0.25">
      <c r="A6" s="11" t="s">
        <v>44</v>
      </c>
      <c r="B6" s="11" t="s">
        <v>48</v>
      </c>
      <c r="C6" s="11" t="s">
        <v>16</v>
      </c>
      <c r="D6" s="11" t="s">
        <v>53</v>
      </c>
      <c r="E6" s="11" t="s">
        <v>148</v>
      </c>
      <c r="F6" s="11" t="s">
        <v>57</v>
      </c>
      <c r="G6" s="19">
        <v>100</v>
      </c>
      <c r="H6" s="14">
        <v>46108</v>
      </c>
      <c r="I6" s="25">
        <v>46147</v>
      </c>
      <c r="J6" s="11">
        <f>_xlfn.DAYS(Table3[[#This Row],[Out of Warehouse]],Table3[[#This Row],[Inbound Date]])</f>
        <v>39</v>
      </c>
    </row>
    <row r="7" spans="1:10" hidden="1" x14ac:dyDescent="0.25">
      <c r="A7" s="11" t="s">
        <v>44</v>
      </c>
      <c r="B7" s="11" t="s">
        <v>49</v>
      </c>
      <c r="C7" s="11" t="s">
        <v>16</v>
      </c>
      <c r="D7" s="11" t="s">
        <v>53</v>
      </c>
      <c r="E7" s="11" t="s">
        <v>148</v>
      </c>
      <c r="F7" s="11" t="s">
        <v>57</v>
      </c>
      <c r="G7" s="19">
        <v>100</v>
      </c>
      <c r="H7" s="14">
        <v>46113</v>
      </c>
      <c r="I7" s="25">
        <v>46147</v>
      </c>
      <c r="J7" s="11">
        <f>_xlfn.DAYS(Table3[[#This Row],[Out of Warehouse]],Table3[[#This Row],[Inbound Date]])</f>
        <v>34</v>
      </c>
    </row>
    <row r="8" spans="1:10" hidden="1" x14ac:dyDescent="0.25">
      <c r="A8" s="11" t="s">
        <v>44</v>
      </c>
      <c r="B8" s="11" t="s">
        <v>50</v>
      </c>
      <c r="C8" s="11" t="s">
        <v>16</v>
      </c>
      <c r="D8" s="11" t="s">
        <v>53</v>
      </c>
      <c r="E8" s="11" t="s">
        <v>148</v>
      </c>
      <c r="F8" s="11" t="s">
        <v>57</v>
      </c>
      <c r="G8" s="19">
        <v>100</v>
      </c>
      <c r="H8" s="14">
        <v>46107</v>
      </c>
      <c r="I8" s="25">
        <v>46148</v>
      </c>
      <c r="J8" s="11">
        <f>_xlfn.DAYS(Table3[[#This Row],[Out of Warehouse]],Table3[[#This Row],[Inbound Date]])</f>
        <v>41</v>
      </c>
    </row>
    <row r="9" spans="1:10" hidden="1" x14ac:dyDescent="0.25">
      <c r="A9" s="11" t="s">
        <v>44</v>
      </c>
      <c r="B9" s="11" t="s">
        <v>86</v>
      </c>
      <c r="C9" s="11" t="s">
        <v>25</v>
      </c>
      <c r="D9" s="11" t="s">
        <v>37</v>
      </c>
      <c r="E9" s="1" t="s">
        <v>148</v>
      </c>
      <c r="F9" s="11" t="s">
        <v>26</v>
      </c>
      <c r="G9" s="19">
        <v>100</v>
      </c>
      <c r="H9" s="14">
        <v>46142</v>
      </c>
      <c r="I9" s="25">
        <v>46148</v>
      </c>
      <c r="J9" s="11">
        <f>_xlfn.DAYS(Table3[[#This Row],[Out of Warehouse]],Table3[[#This Row],[Inbound Date]])</f>
        <v>6</v>
      </c>
    </row>
    <row r="10" spans="1:10" hidden="1" x14ac:dyDescent="0.25">
      <c r="A10" s="11" t="s">
        <v>44</v>
      </c>
      <c r="B10" s="11" t="s">
        <v>33</v>
      </c>
      <c r="C10" s="11" t="s">
        <v>32</v>
      </c>
      <c r="D10" s="11" t="s">
        <v>36</v>
      </c>
      <c r="E10" s="11" t="s">
        <v>148</v>
      </c>
      <c r="F10" s="11" t="s">
        <v>56</v>
      </c>
      <c r="G10" s="19">
        <v>80</v>
      </c>
      <c r="H10" s="14">
        <v>46135</v>
      </c>
      <c r="I10" s="14">
        <v>46147</v>
      </c>
      <c r="J10" s="11">
        <f>_xlfn.DAYS(Table3[[#This Row],[Out of Warehouse]],Table3[[#This Row],[Inbound Date]])</f>
        <v>12</v>
      </c>
    </row>
    <row r="11" spans="1:10" hidden="1" x14ac:dyDescent="0.25">
      <c r="A11" s="11" t="s">
        <v>44</v>
      </c>
      <c r="B11" s="11" t="s">
        <v>150</v>
      </c>
      <c r="C11" s="11" t="s">
        <v>32</v>
      </c>
      <c r="D11" s="11" t="s">
        <v>36</v>
      </c>
      <c r="E11" s="11" t="s">
        <v>148</v>
      </c>
      <c r="F11" s="11" t="s">
        <v>56</v>
      </c>
      <c r="G11" s="19">
        <v>100</v>
      </c>
      <c r="H11" s="14">
        <v>46142</v>
      </c>
      <c r="I11" s="14">
        <v>46147</v>
      </c>
      <c r="J11" s="11">
        <f>_xlfn.DAYS(Table3[[#This Row],[Out of Warehouse]],Table3[[#This Row],[Inbound Date]])</f>
        <v>5</v>
      </c>
    </row>
    <row r="12" spans="1:10" hidden="1" x14ac:dyDescent="0.25">
      <c r="A12" s="11" t="s">
        <v>44</v>
      </c>
      <c r="B12" s="30" t="s">
        <v>31</v>
      </c>
      <c r="C12" s="11" t="s">
        <v>32</v>
      </c>
      <c r="D12" s="11" t="s">
        <v>37</v>
      </c>
      <c r="E12" s="11" t="s">
        <v>148</v>
      </c>
      <c r="F12" s="11" t="s">
        <v>56</v>
      </c>
      <c r="G12" s="19">
        <v>100</v>
      </c>
      <c r="H12" s="14">
        <v>46121</v>
      </c>
      <c r="I12" s="14">
        <v>46147</v>
      </c>
      <c r="J12" s="11">
        <f>_xlfn.DAYS(Table3[[#This Row],[Out of Warehouse]],Table3[[#This Row],[Inbound Date]])</f>
        <v>26</v>
      </c>
    </row>
    <row r="13" spans="1:10" hidden="1" x14ac:dyDescent="0.25">
      <c r="A13" s="11" t="s">
        <v>44</v>
      </c>
      <c r="B13" s="11" t="s">
        <v>24</v>
      </c>
      <c r="C13" s="11" t="s">
        <v>25</v>
      </c>
      <c r="D13" s="11" t="s">
        <v>37</v>
      </c>
      <c r="E13" s="11" t="s">
        <v>148</v>
      </c>
      <c r="F13" s="11" t="s">
        <v>69</v>
      </c>
      <c r="G13" s="19">
        <v>100</v>
      </c>
      <c r="H13" s="14">
        <v>46142</v>
      </c>
      <c r="I13" s="14">
        <v>46148</v>
      </c>
      <c r="J13" s="11">
        <f>_xlfn.DAYS(Table3[[#This Row],[Out of Warehouse]],Table3[[#This Row],[Inbound Date]])</f>
        <v>6</v>
      </c>
    </row>
    <row r="14" spans="1:10" hidden="1" x14ac:dyDescent="0.25">
      <c r="A14" s="11" t="s">
        <v>44</v>
      </c>
      <c r="B14" s="11" t="s">
        <v>9</v>
      </c>
      <c r="C14" s="11" t="s">
        <v>10</v>
      </c>
      <c r="D14" s="11" t="s">
        <v>54</v>
      </c>
      <c r="E14" s="11" t="s">
        <v>148</v>
      </c>
      <c r="F14" s="11" t="s">
        <v>106</v>
      </c>
      <c r="G14" s="19">
        <v>99</v>
      </c>
      <c r="H14" s="14">
        <v>46147</v>
      </c>
      <c r="I14" s="14">
        <v>46153</v>
      </c>
      <c r="J14" s="11">
        <f>_xlfn.DAYS(Table3[[#This Row],[Out of Warehouse]],Table3[[#This Row],[Inbound Date]])</f>
        <v>6</v>
      </c>
    </row>
    <row r="15" spans="1:10" hidden="1" x14ac:dyDescent="0.25">
      <c r="A15" s="11" t="s">
        <v>44</v>
      </c>
      <c r="B15" s="11" t="s">
        <v>160</v>
      </c>
      <c r="C15" s="1" t="s">
        <v>17</v>
      </c>
      <c r="D15" s="11" t="s">
        <v>54</v>
      </c>
      <c r="E15" s="11" t="s">
        <v>148</v>
      </c>
      <c r="F15" s="11" t="s">
        <v>171</v>
      </c>
      <c r="G15" s="19">
        <v>100</v>
      </c>
      <c r="H15" s="14">
        <v>46147</v>
      </c>
      <c r="I15" s="14">
        <v>46149</v>
      </c>
      <c r="J15" s="11">
        <f>_xlfn.DAYS(Table3[[#This Row],[Out of Warehouse]],Table3[[#This Row],[Inbound Date]])</f>
        <v>2</v>
      </c>
    </row>
    <row r="16" spans="1:10" hidden="1" x14ac:dyDescent="0.25">
      <c r="A16" s="11" t="s">
        <v>44</v>
      </c>
      <c r="B16" s="11" t="s">
        <v>172</v>
      </c>
      <c r="C16" s="1" t="s">
        <v>10</v>
      </c>
      <c r="D16" s="11" t="s">
        <v>37</v>
      </c>
      <c r="E16" s="11" t="s">
        <v>148</v>
      </c>
      <c r="F16" s="11" t="s">
        <v>106</v>
      </c>
      <c r="G16" s="19">
        <v>100</v>
      </c>
      <c r="H16" s="14">
        <v>46140</v>
      </c>
      <c r="I16" s="14">
        <v>46153</v>
      </c>
      <c r="J16" s="11">
        <f>_xlfn.DAYS(Table3[[#This Row],[Out of Warehouse]],Table3[[#This Row],[Inbound Date]])</f>
        <v>13</v>
      </c>
    </row>
    <row r="17" spans="1:10" hidden="1" x14ac:dyDescent="0.25">
      <c r="A17" s="11" t="s">
        <v>44</v>
      </c>
      <c r="B17" s="11" t="s">
        <v>173</v>
      </c>
      <c r="C17" s="1" t="s">
        <v>10</v>
      </c>
      <c r="D17" s="11" t="s">
        <v>37</v>
      </c>
      <c r="E17" s="11" t="s">
        <v>148</v>
      </c>
      <c r="F17" s="11" t="s">
        <v>106</v>
      </c>
      <c r="G17" s="19">
        <v>62.79</v>
      </c>
      <c r="H17" s="14">
        <v>46140</v>
      </c>
      <c r="I17" s="14">
        <v>46153</v>
      </c>
      <c r="J17" s="11">
        <f>_xlfn.DAYS(Table3[[#This Row],[Out of Warehouse]],Table3[[#This Row],[Inbound Date]])</f>
        <v>13</v>
      </c>
    </row>
    <row r="18" spans="1:10" x14ac:dyDescent="0.25">
      <c r="A18" s="11" t="s">
        <v>44</v>
      </c>
      <c r="B18" s="11" t="s">
        <v>131</v>
      </c>
      <c r="C18" s="11" t="s">
        <v>13</v>
      </c>
      <c r="D18" s="11" t="s">
        <v>36</v>
      </c>
      <c r="E18" s="11" t="s">
        <v>148</v>
      </c>
      <c r="F18" s="11" t="s">
        <v>40</v>
      </c>
      <c r="G18" s="19">
        <v>100</v>
      </c>
      <c r="H18" s="14">
        <v>46146</v>
      </c>
      <c r="I18" s="14">
        <v>46157</v>
      </c>
      <c r="J18" s="11">
        <f>_xlfn.DAYS(Table3[[#This Row],[Out of Warehouse]],Table3[[#This Row],[Inbound Date]])</f>
        <v>11</v>
      </c>
    </row>
    <row r="19" spans="1:10" x14ac:dyDescent="0.25">
      <c r="A19" s="11" t="s">
        <v>44</v>
      </c>
      <c r="B19" s="11" t="s">
        <v>51</v>
      </c>
      <c r="C19" s="11" t="s">
        <v>7</v>
      </c>
      <c r="D19" s="11" t="s">
        <v>37</v>
      </c>
      <c r="E19" s="11" t="s">
        <v>148</v>
      </c>
      <c r="F19" s="11" t="s">
        <v>56</v>
      </c>
      <c r="G19" s="19">
        <v>100</v>
      </c>
      <c r="H19" s="14">
        <v>46111</v>
      </c>
      <c r="I19" s="14">
        <v>46156</v>
      </c>
      <c r="J19" s="11">
        <f>_xlfn.DAYS(Table3[[#This Row],[Out of Warehouse]],Table3[[#This Row],[Inbound Date]])</f>
        <v>45</v>
      </c>
    </row>
    <row r="20" spans="1:10" x14ac:dyDescent="0.25">
      <c r="A20" s="11" t="s">
        <v>44</v>
      </c>
      <c r="B20" s="11" t="s">
        <v>149</v>
      </c>
      <c r="C20" s="11" t="s">
        <v>32</v>
      </c>
      <c r="D20" s="11" t="s">
        <v>36</v>
      </c>
      <c r="E20" s="11" t="s">
        <v>148</v>
      </c>
      <c r="F20" s="11" t="s">
        <v>40</v>
      </c>
      <c r="G20" s="19">
        <v>100</v>
      </c>
      <c r="H20" s="14">
        <v>46142</v>
      </c>
      <c r="I20" s="14">
        <v>46157</v>
      </c>
      <c r="J20" s="11">
        <f>_xlfn.DAYS(Table3[[#This Row],[Out of Warehouse]],Table3[[#This Row],[Inbound Date]])</f>
        <v>15</v>
      </c>
    </row>
    <row r="21" spans="1:10" hidden="1" x14ac:dyDescent="0.25">
      <c r="A21" s="11" t="s">
        <v>44</v>
      </c>
      <c r="B21" s="11" t="s">
        <v>72</v>
      </c>
      <c r="C21" s="11" t="s">
        <v>10</v>
      </c>
      <c r="D21" s="11" t="s">
        <v>38</v>
      </c>
      <c r="E21" s="11" t="s">
        <v>55</v>
      </c>
      <c r="F21" s="11" t="s">
        <v>12</v>
      </c>
      <c r="G21" s="19">
        <v>99</v>
      </c>
      <c r="H21" s="14">
        <v>46147</v>
      </c>
      <c r="I21" s="14">
        <v>46153</v>
      </c>
      <c r="J21" s="11">
        <f>_xlfn.DAYS(Table3[[#This Row],[Out of Warehouse]],Table3[[#This Row],[Inbound Date]])</f>
        <v>6</v>
      </c>
    </row>
    <row r="22" spans="1:10" x14ac:dyDescent="0.25">
      <c r="A22" s="11" t="s">
        <v>44</v>
      </c>
      <c r="B22" s="11" t="s">
        <v>73</v>
      </c>
      <c r="C22" s="11" t="s">
        <v>10</v>
      </c>
      <c r="D22" s="11" t="s">
        <v>37</v>
      </c>
      <c r="E22" s="11" t="s">
        <v>148</v>
      </c>
      <c r="F22" s="11" t="s">
        <v>12</v>
      </c>
      <c r="G22" s="19">
        <v>100</v>
      </c>
      <c r="H22" s="14">
        <v>46148</v>
      </c>
      <c r="I22" s="14">
        <v>46155</v>
      </c>
      <c r="J22" s="11">
        <f>_xlfn.DAYS(Table3[[#This Row],[Out of Warehouse]],Table3[[#This Row],[Inbound Date]])</f>
        <v>7</v>
      </c>
    </row>
    <row r="23" spans="1:10" x14ac:dyDescent="0.25">
      <c r="A23" s="11" t="s">
        <v>44</v>
      </c>
      <c r="B23" s="11" t="s">
        <v>74</v>
      </c>
      <c r="C23" s="11" t="s">
        <v>10</v>
      </c>
      <c r="D23" s="11" t="s">
        <v>37</v>
      </c>
      <c r="E23" s="11" t="s">
        <v>148</v>
      </c>
      <c r="F23" s="11" t="s">
        <v>12</v>
      </c>
      <c r="G23" s="19">
        <v>100</v>
      </c>
      <c r="H23" s="14">
        <v>46149</v>
      </c>
      <c r="I23" s="14">
        <v>46155</v>
      </c>
      <c r="J23" s="11">
        <f>_xlfn.DAYS(Table3[[#This Row],[Out of Warehouse]],Table3[[#This Row],[Inbound Date]])</f>
        <v>6</v>
      </c>
    </row>
    <row r="24" spans="1:10" x14ac:dyDescent="0.25">
      <c r="A24" s="11" t="s">
        <v>44</v>
      </c>
      <c r="B24" s="11" t="s">
        <v>80</v>
      </c>
      <c r="C24" s="11" t="s">
        <v>16</v>
      </c>
      <c r="D24" s="11" t="s">
        <v>37</v>
      </c>
      <c r="E24" s="11" t="s">
        <v>148</v>
      </c>
      <c r="F24" s="11" t="s">
        <v>56</v>
      </c>
      <c r="G24" s="19">
        <v>100</v>
      </c>
      <c r="H24" s="14">
        <v>46146</v>
      </c>
      <c r="I24" s="14">
        <v>46154</v>
      </c>
      <c r="J24" s="11">
        <f>_xlfn.DAYS(Table3[[#This Row],[Out of Warehouse]],Table3[[#This Row],[Inbound Date]])</f>
        <v>8</v>
      </c>
    </row>
    <row r="25" spans="1:10" x14ac:dyDescent="0.25">
      <c r="A25" s="11" t="s">
        <v>44</v>
      </c>
      <c r="B25" s="11" t="s">
        <v>81</v>
      </c>
      <c r="C25" s="11" t="s">
        <v>10</v>
      </c>
      <c r="D25" s="11" t="s">
        <v>36</v>
      </c>
      <c r="E25" s="11" t="s">
        <v>148</v>
      </c>
      <c r="F25" s="11" t="s">
        <v>19</v>
      </c>
      <c r="G25" s="19">
        <v>96</v>
      </c>
      <c r="H25" s="14">
        <v>46149</v>
      </c>
      <c r="I25" s="14">
        <v>46155</v>
      </c>
      <c r="J25" s="11">
        <f>_xlfn.DAYS(Table3[[#This Row],[Out of Warehouse]],Table3[[#This Row],[Inbound Date]])</f>
        <v>6</v>
      </c>
    </row>
    <row r="26" spans="1:10" x14ac:dyDescent="0.25">
      <c r="A26" s="11" t="s">
        <v>44</v>
      </c>
      <c r="B26" s="11" t="s">
        <v>83</v>
      </c>
      <c r="C26" s="11" t="s">
        <v>20</v>
      </c>
      <c r="D26" s="11" t="s">
        <v>36</v>
      </c>
      <c r="E26" s="11" t="s">
        <v>148</v>
      </c>
      <c r="F26" s="11" t="s">
        <v>56</v>
      </c>
      <c r="G26" s="19">
        <v>100</v>
      </c>
      <c r="H26" s="14">
        <v>46150</v>
      </c>
      <c r="I26" s="14">
        <v>46155</v>
      </c>
      <c r="J26" s="11">
        <f>_xlfn.DAYS(Table3[[#This Row],[Out of Warehouse]],Table3[[#This Row],[Inbound Date]])</f>
        <v>5</v>
      </c>
    </row>
    <row r="27" spans="1:10" x14ac:dyDescent="0.25">
      <c r="A27" s="11" t="s">
        <v>44</v>
      </c>
      <c r="B27" s="11" t="s">
        <v>23</v>
      </c>
      <c r="C27" s="11" t="s">
        <v>16</v>
      </c>
      <c r="D27" s="11" t="s">
        <v>52</v>
      </c>
      <c r="E27" s="11" t="s">
        <v>148</v>
      </c>
      <c r="F27" s="11" t="s">
        <v>56</v>
      </c>
      <c r="G27" s="19">
        <v>90</v>
      </c>
      <c r="H27" s="14">
        <v>46136</v>
      </c>
      <c r="I27" s="14">
        <v>46154</v>
      </c>
      <c r="J27" s="11">
        <f>_xlfn.DAYS(Table3[[#This Row],[Out of Warehouse]],Table3[[#This Row],[Inbound Date]])</f>
        <v>18</v>
      </c>
    </row>
    <row r="28" spans="1:10" x14ac:dyDescent="0.25">
      <c r="A28" s="11" t="s">
        <v>44</v>
      </c>
      <c r="B28" s="11" t="s">
        <v>164</v>
      </c>
      <c r="C28" s="11" t="s">
        <v>15</v>
      </c>
      <c r="D28" s="11" t="s">
        <v>54</v>
      </c>
      <c r="E28" s="11" t="s">
        <v>148</v>
      </c>
      <c r="F28" s="11" t="s">
        <v>56</v>
      </c>
      <c r="G28" s="19">
        <v>99.93</v>
      </c>
      <c r="H28" s="14">
        <v>46142</v>
      </c>
      <c r="I28" s="14">
        <v>46155</v>
      </c>
      <c r="J28" s="11">
        <f>_xlfn.DAYS(Table3[[#This Row],[Out of Warehouse]],Table3[[#This Row],[Inbound Date]])</f>
        <v>13</v>
      </c>
    </row>
    <row r="29" spans="1:10" x14ac:dyDescent="0.25">
      <c r="A29" s="11" t="s">
        <v>44</v>
      </c>
      <c r="B29" s="11" t="s">
        <v>82</v>
      </c>
      <c r="C29" s="11" t="s">
        <v>17</v>
      </c>
      <c r="D29" s="11" t="s">
        <v>38</v>
      </c>
      <c r="E29" s="11" t="s">
        <v>148</v>
      </c>
      <c r="F29" s="11" t="s">
        <v>56</v>
      </c>
      <c r="G29" s="19">
        <v>100</v>
      </c>
      <c r="H29" s="14">
        <v>46147</v>
      </c>
      <c r="I29" s="14">
        <v>46157</v>
      </c>
      <c r="J29" s="11">
        <f>_xlfn.DAYS(Table3[[#This Row],[Out of Warehouse]],Table3[[#This Row],[Inbound Date]])</f>
        <v>10</v>
      </c>
    </row>
    <row r="30" spans="1:10" x14ac:dyDescent="0.25">
      <c r="A30" s="11" t="s">
        <v>44</v>
      </c>
      <c r="B30" s="11" t="s">
        <v>79</v>
      </c>
      <c r="C30" s="11" t="s">
        <v>17</v>
      </c>
      <c r="D30" s="11" t="s">
        <v>38</v>
      </c>
      <c r="E30" s="11" t="s">
        <v>148</v>
      </c>
      <c r="F30" s="11" t="s">
        <v>56</v>
      </c>
      <c r="G30" s="19">
        <v>100</v>
      </c>
      <c r="H30" s="14">
        <v>46153</v>
      </c>
      <c r="I30" s="14">
        <v>46157</v>
      </c>
      <c r="J30" s="11">
        <f>_xlfn.DAYS(Table3[[#This Row],[Out of Warehouse]],Table3[[#This Row],[Inbound Date]])</f>
        <v>4</v>
      </c>
    </row>
    <row r="31" spans="1:10" x14ac:dyDescent="0.25">
      <c r="A31" s="11" t="s">
        <v>44</v>
      </c>
      <c r="B31" s="11" t="s">
        <v>166</v>
      </c>
      <c r="C31" s="11" t="s">
        <v>17</v>
      </c>
      <c r="D31" s="11" t="s">
        <v>54</v>
      </c>
      <c r="E31" s="11" t="s">
        <v>148</v>
      </c>
      <c r="F31" s="11" t="s">
        <v>56</v>
      </c>
      <c r="G31" s="19">
        <v>100.5</v>
      </c>
      <c r="H31" s="14">
        <v>46142</v>
      </c>
      <c r="I31" s="14">
        <v>46157</v>
      </c>
      <c r="J31" s="11">
        <f>_xlfn.DAYS(Table3[[#This Row],[Out of Warehouse]],Table3[[#This Row],[Inbound Date]])</f>
        <v>15</v>
      </c>
    </row>
    <row r="32" spans="1:10" x14ac:dyDescent="0.25">
      <c r="A32" s="11" t="s">
        <v>44</v>
      </c>
      <c r="B32" s="11" t="s">
        <v>167</v>
      </c>
      <c r="C32" s="11" t="s">
        <v>17</v>
      </c>
      <c r="D32" s="11" t="s">
        <v>54</v>
      </c>
      <c r="E32" s="11" t="s">
        <v>148</v>
      </c>
      <c r="F32" s="11" t="s">
        <v>56</v>
      </c>
      <c r="G32" s="19">
        <v>101.13</v>
      </c>
      <c r="H32" s="14">
        <v>46140</v>
      </c>
      <c r="I32" s="14">
        <v>46156</v>
      </c>
      <c r="J32" s="11">
        <f>_xlfn.DAYS(Table3[[#This Row],[Out of Warehouse]],Table3[[#This Row],[Inbound Date]])</f>
        <v>16</v>
      </c>
    </row>
    <row r="33" spans="1:10" hidden="1" x14ac:dyDescent="0.25">
      <c r="A33" s="11" t="s">
        <v>44</v>
      </c>
      <c r="B33" s="11" t="s">
        <v>168</v>
      </c>
      <c r="C33" s="11" t="s">
        <v>17</v>
      </c>
      <c r="D33" s="11" t="s">
        <v>54</v>
      </c>
      <c r="E33" s="11" t="s">
        <v>148</v>
      </c>
      <c r="F33" s="11" t="s">
        <v>56</v>
      </c>
      <c r="G33" s="19">
        <v>100.63</v>
      </c>
      <c r="H33" s="14">
        <v>46147</v>
      </c>
      <c r="I33" s="14">
        <v>46160</v>
      </c>
      <c r="J33" s="11">
        <f>_xlfn.DAYS(Table3[[#This Row],[Out of Warehouse]],Table3[[#This Row],[Inbound Date]])</f>
        <v>13</v>
      </c>
    </row>
    <row r="34" spans="1:10" x14ac:dyDescent="0.25">
      <c r="A34" s="11" t="s">
        <v>44</v>
      </c>
      <c r="B34" s="11" t="s">
        <v>169</v>
      </c>
      <c r="C34" s="11" t="s">
        <v>17</v>
      </c>
      <c r="D34" s="11" t="s">
        <v>54</v>
      </c>
      <c r="E34" s="11" t="s">
        <v>148</v>
      </c>
      <c r="F34" s="11" t="s">
        <v>56</v>
      </c>
      <c r="G34" s="19">
        <v>100</v>
      </c>
      <c r="H34" s="14">
        <v>46142</v>
      </c>
      <c r="I34" s="14">
        <v>46157</v>
      </c>
      <c r="J34" s="11">
        <f>_xlfn.DAYS(Table3[[#This Row],[Out of Warehouse]],Table3[[#This Row],[Inbound Date]])</f>
        <v>15</v>
      </c>
    </row>
    <row r="35" spans="1:10" x14ac:dyDescent="0.25">
      <c r="A35" s="11" t="s">
        <v>44</v>
      </c>
      <c r="B35" s="11" t="s">
        <v>281</v>
      </c>
      <c r="C35" s="11" t="s">
        <v>15</v>
      </c>
      <c r="D35" s="11" t="s">
        <v>38</v>
      </c>
      <c r="E35" s="11" t="s">
        <v>30</v>
      </c>
      <c r="F35" s="11" t="s">
        <v>8</v>
      </c>
      <c r="G35" s="19">
        <v>83</v>
      </c>
      <c r="H35" s="14">
        <v>46155</v>
      </c>
      <c r="I35" s="14">
        <v>46163</v>
      </c>
      <c r="J35" s="11">
        <f>_xlfn.DAYS(Table3[[#This Row],[Out of Warehouse]],Table3[[#This Row],[Inbound Date]])</f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2DFC-C40E-4719-B9CB-EBB0E96AFBD5}">
  <sheetPr>
    <pageSetUpPr autoPageBreaks="0"/>
  </sheetPr>
  <dimension ref="A1:H31"/>
  <sheetViews>
    <sheetView zoomScale="80" zoomScaleNormal="80" workbookViewId="0">
      <selection activeCell="F38" sqref="F38"/>
    </sheetView>
  </sheetViews>
  <sheetFormatPr defaultRowHeight="15.75" x14ac:dyDescent="0.25"/>
  <cols>
    <col min="1" max="1" width="8.625" style="1" customWidth="1"/>
    <col min="2" max="2" width="17.375" style="1" customWidth="1"/>
    <col min="3" max="3" width="12.25" style="1" customWidth="1"/>
    <col min="4" max="4" width="15.5" style="1" customWidth="1"/>
    <col min="5" max="5" width="21.875" style="1" customWidth="1"/>
    <col min="6" max="6" width="16.125" style="1" customWidth="1"/>
    <col min="7" max="7" width="13.875" style="1" customWidth="1"/>
    <col min="8" max="8" width="12.75" style="1" customWidth="1"/>
    <col min="9" max="16384" width="9" style="1"/>
  </cols>
  <sheetData>
    <row r="1" spans="1:8" x14ac:dyDescent="0.25">
      <c r="A1" s="9" t="s">
        <v>58</v>
      </c>
      <c r="B1" s="9" t="s">
        <v>103</v>
      </c>
      <c r="C1" s="9" t="s">
        <v>104</v>
      </c>
      <c r="D1" s="9" t="s">
        <v>60</v>
      </c>
      <c r="E1" s="9" t="s">
        <v>102</v>
      </c>
      <c r="F1" s="9" t="s">
        <v>61</v>
      </c>
      <c r="G1" s="9" t="s">
        <v>62</v>
      </c>
      <c r="H1" s="9" t="s">
        <v>66</v>
      </c>
    </row>
    <row r="2" spans="1:8" hidden="1" x14ac:dyDescent="0.25">
      <c r="A2" s="11" t="s">
        <v>44</v>
      </c>
      <c r="B2" s="11" t="s">
        <v>81</v>
      </c>
      <c r="C2" s="24" t="s">
        <v>10</v>
      </c>
      <c r="D2" s="11" t="s">
        <v>36</v>
      </c>
      <c r="E2" s="11" t="s">
        <v>55</v>
      </c>
      <c r="F2" s="24" t="s">
        <v>19</v>
      </c>
      <c r="G2" s="31">
        <v>96</v>
      </c>
      <c r="H2" s="25">
        <v>46149</v>
      </c>
    </row>
    <row r="3" spans="1:8" hidden="1" x14ac:dyDescent="0.25">
      <c r="A3" s="11" t="s">
        <v>44</v>
      </c>
      <c r="B3" s="11" t="s">
        <v>73</v>
      </c>
      <c r="C3" s="24" t="s">
        <v>10</v>
      </c>
      <c r="D3" s="11" t="s">
        <v>37</v>
      </c>
      <c r="E3" s="11" t="s">
        <v>55</v>
      </c>
      <c r="F3" s="24" t="s">
        <v>12</v>
      </c>
      <c r="G3" s="26">
        <v>100</v>
      </c>
      <c r="H3" s="25">
        <v>46148</v>
      </c>
    </row>
    <row r="4" spans="1:8" hidden="1" x14ac:dyDescent="0.25">
      <c r="A4" s="11" t="s">
        <v>44</v>
      </c>
      <c r="B4" s="11" t="s">
        <v>74</v>
      </c>
      <c r="C4" s="24" t="s">
        <v>10</v>
      </c>
      <c r="D4" s="11" t="s">
        <v>37</v>
      </c>
      <c r="E4" s="11" t="s">
        <v>55</v>
      </c>
      <c r="F4" s="24" t="s">
        <v>12</v>
      </c>
      <c r="G4" s="26">
        <v>100</v>
      </c>
      <c r="H4" s="25">
        <v>46149</v>
      </c>
    </row>
    <row r="5" spans="1:8" hidden="1" x14ac:dyDescent="0.25">
      <c r="A5" s="11" t="s">
        <v>44</v>
      </c>
      <c r="B5" s="11" t="s">
        <v>76</v>
      </c>
      <c r="C5" s="24" t="s">
        <v>15</v>
      </c>
      <c r="D5" s="11" t="s">
        <v>38</v>
      </c>
      <c r="E5" s="11" t="s">
        <v>55</v>
      </c>
      <c r="F5" s="24" t="s">
        <v>8</v>
      </c>
      <c r="G5" s="26">
        <v>100</v>
      </c>
      <c r="H5" s="25">
        <v>46149</v>
      </c>
    </row>
    <row r="6" spans="1:8" hidden="1" x14ac:dyDescent="0.25">
      <c r="A6" s="11" t="s">
        <v>44</v>
      </c>
      <c r="B6" s="11" t="s">
        <v>83</v>
      </c>
      <c r="C6" s="24" t="s">
        <v>20</v>
      </c>
      <c r="D6" s="11" t="s">
        <v>36</v>
      </c>
      <c r="E6" s="11" t="s">
        <v>55</v>
      </c>
      <c r="F6" s="24" t="s">
        <v>8</v>
      </c>
      <c r="G6" s="26">
        <v>100</v>
      </c>
      <c r="H6" s="25">
        <v>46150</v>
      </c>
    </row>
    <row r="7" spans="1:8" hidden="1" x14ac:dyDescent="0.25">
      <c r="A7" s="11" t="s">
        <v>44</v>
      </c>
      <c r="B7" s="11" t="s">
        <v>70</v>
      </c>
      <c r="C7" s="24" t="s">
        <v>7</v>
      </c>
      <c r="D7" s="11" t="s">
        <v>35</v>
      </c>
      <c r="E7" s="11" t="s">
        <v>55</v>
      </c>
      <c r="F7" s="24" t="s">
        <v>8</v>
      </c>
      <c r="G7" s="31">
        <v>79</v>
      </c>
      <c r="H7" s="25">
        <v>46153</v>
      </c>
    </row>
    <row r="8" spans="1:8" hidden="1" x14ac:dyDescent="0.25">
      <c r="A8" s="11" t="s">
        <v>44</v>
      </c>
      <c r="B8" s="11" t="s">
        <v>79</v>
      </c>
      <c r="C8" s="24" t="s">
        <v>17</v>
      </c>
      <c r="D8" s="11" t="s">
        <v>38</v>
      </c>
      <c r="E8" s="11" t="s">
        <v>55</v>
      </c>
      <c r="F8" s="24" t="s">
        <v>8</v>
      </c>
      <c r="G8" s="26">
        <v>100</v>
      </c>
      <c r="H8" s="25">
        <v>46153</v>
      </c>
    </row>
    <row r="9" spans="1:8" hidden="1" x14ac:dyDescent="0.25">
      <c r="A9" s="11" t="s">
        <v>44</v>
      </c>
      <c r="B9" s="11" t="s">
        <v>95</v>
      </c>
      <c r="C9" s="24" t="s">
        <v>7</v>
      </c>
      <c r="D9" s="11" t="s">
        <v>38</v>
      </c>
      <c r="E9" s="11" t="s">
        <v>55</v>
      </c>
      <c r="F9" s="24" t="s">
        <v>56</v>
      </c>
      <c r="G9" s="31">
        <v>93</v>
      </c>
      <c r="H9" s="25">
        <v>46154</v>
      </c>
    </row>
    <row r="10" spans="1:8" hidden="1" x14ac:dyDescent="0.25">
      <c r="A10" s="11" t="s">
        <v>44</v>
      </c>
      <c r="B10" s="11" t="s">
        <v>90</v>
      </c>
      <c r="C10" s="24" t="s">
        <v>15</v>
      </c>
      <c r="D10" s="11" t="s">
        <v>38</v>
      </c>
      <c r="E10" s="11" t="s">
        <v>55</v>
      </c>
      <c r="F10" s="24" t="s">
        <v>56</v>
      </c>
      <c r="G10" s="26">
        <v>100</v>
      </c>
      <c r="H10" s="25">
        <v>46154</v>
      </c>
    </row>
    <row r="11" spans="1:8" hidden="1" x14ac:dyDescent="0.25">
      <c r="A11" s="11" t="s">
        <v>44</v>
      </c>
      <c r="B11" s="11" t="s">
        <v>89</v>
      </c>
      <c r="C11" s="24" t="s">
        <v>15</v>
      </c>
      <c r="D11" s="11" t="s">
        <v>38</v>
      </c>
      <c r="E11" s="11" t="s">
        <v>55</v>
      </c>
      <c r="F11" s="24" t="s">
        <v>56</v>
      </c>
      <c r="G11" s="26">
        <v>100</v>
      </c>
      <c r="H11" s="25">
        <v>46154</v>
      </c>
    </row>
    <row r="12" spans="1:8" hidden="1" x14ac:dyDescent="0.25">
      <c r="A12" s="11" t="s">
        <v>44</v>
      </c>
      <c r="B12" s="11" t="s">
        <v>93</v>
      </c>
      <c r="C12" s="24" t="s">
        <v>15</v>
      </c>
      <c r="D12" s="11" t="s">
        <v>38</v>
      </c>
      <c r="E12" s="11" t="s">
        <v>55</v>
      </c>
      <c r="F12" s="24" t="s">
        <v>56</v>
      </c>
      <c r="G12" s="26">
        <v>100</v>
      </c>
      <c r="H12" s="25">
        <v>46154</v>
      </c>
    </row>
    <row r="13" spans="1:8" hidden="1" x14ac:dyDescent="0.25">
      <c r="A13" s="11" t="s">
        <v>44</v>
      </c>
      <c r="B13" s="11" t="s">
        <v>159</v>
      </c>
      <c r="C13" s="33" t="s">
        <v>15</v>
      </c>
      <c r="D13" s="11"/>
      <c r="E13" s="11" t="s">
        <v>55</v>
      </c>
      <c r="F13" s="24" t="s">
        <v>56</v>
      </c>
      <c r="G13" s="34">
        <v>100</v>
      </c>
      <c r="H13" s="35">
        <v>46149</v>
      </c>
    </row>
    <row r="14" spans="1:8" hidden="1" x14ac:dyDescent="0.25">
      <c r="A14" s="11" t="s">
        <v>44</v>
      </c>
      <c r="B14" s="11" t="s">
        <v>160</v>
      </c>
      <c r="C14" s="33" t="s">
        <v>17</v>
      </c>
      <c r="D14" s="11"/>
      <c r="E14" s="11" t="s">
        <v>55</v>
      </c>
      <c r="F14" s="24" t="s">
        <v>56</v>
      </c>
      <c r="G14" s="34">
        <v>100</v>
      </c>
      <c r="H14" s="35">
        <v>46147</v>
      </c>
    </row>
    <row r="15" spans="1:8" hidden="1" x14ac:dyDescent="0.25">
      <c r="A15" s="11" t="s">
        <v>44</v>
      </c>
      <c r="B15" s="11" t="s">
        <v>163</v>
      </c>
      <c r="C15" s="33" t="s">
        <v>17</v>
      </c>
      <c r="D15" s="11"/>
      <c r="E15" s="11" t="s">
        <v>55</v>
      </c>
      <c r="F15" s="24" t="s">
        <v>56</v>
      </c>
      <c r="G15" s="34">
        <v>100</v>
      </c>
      <c r="H15" s="35">
        <v>46148</v>
      </c>
    </row>
    <row r="16" spans="1:8" hidden="1" x14ac:dyDescent="0.25">
      <c r="A16" s="11" t="s">
        <v>44</v>
      </c>
      <c r="B16" s="11" t="s">
        <v>95</v>
      </c>
      <c r="C16" s="45" t="s">
        <v>7</v>
      </c>
      <c r="D16" s="11" t="s">
        <v>38</v>
      </c>
      <c r="E16" s="11" t="s">
        <v>55</v>
      </c>
      <c r="F16" s="45" t="s">
        <v>56</v>
      </c>
      <c r="G16" s="48">
        <v>93</v>
      </c>
      <c r="H16" s="46">
        <v>46154</v>
      </c>
    </row>
    <row r="17" spans="1:8" hidden="1" x14ac:dyDescent="0.25">
      <c r="A17" s="11" t="s">
        <v>44</v>
      </c>
      <c r="B17" s="11" t="s">
        <v>90</v>
      </c>
      <c r="C17" s="45" t="s">
        <v>15</v>
      </c>
      <c r="D17" s="11" t="s">
        <v>38</v>
      </c>
      <c r="E17" s="11" t="s">
        <v>55</v>
      </c>
      <c r="F17" s="45" t="s">
        <v>56</v>
      </c>
      <c r="G17" s="48">
        <v>100</v>
      </c>
      <c r="H17" s="46">
        <v>46154</v>
      </c>
    </row>
    <row r="18" spans="1:8" hidden="1" x14ac:dyDescent="0.25">
      <c r="A18" s="11" t="s">
        <v>44</v>
      </c>
      <c r="B18" s="11" t="s">
        <v>89</v>
      </c>
      <c r="C18" s="45" t="s">
        <v>15</v>
      </c>
      <c r="D18" s="11" t="s">
        <v>38</v>
      </c>
      <c r="E18" s="11" t="s">
        <v>55</v>
      </c>
      <c r="F18" s="45" t="s">
        <v>56</v>
      </c>
      <c r="G18" s="48">
        <v>100</v>
      </c>
      <c r="H18" s="46">
        <v>46154</v>
      </c>
    </row>
    <row r="19" spans="1:8" hidden="1" x14ac:dyDescent="0.25">
      <c r="A19" s="11" t="s">
        <v>44</v>
      </c>
      <c r="B19" s="11" t="s">
        <v>93</v>
      </c>
      <c r="C19" s="45" t="s">
        <v>15</v>
      </c>
      <c r="D19" s="11" t="s">
        <v>38</v>
      </c>
      <c r="E19" s="11" t="s">
        <v>55</v>
      </c>
      <c r="F19" s="45" t="s">
        <v>56</v>
      </c>
      <c r="G19" s="48">
        <v>100</v>
      </c>
      <c r="H19" s="46">
        <v>46154</v>
      </c>
    </row>
    <row r="20" spans="1:8" x14ac:dyDescent="0.25">
      <c r="A20" s="11" t="s">
        <v>44</v>
      </c>
      <c r="B20" s="11" t="s">
        <v>77</v>
      </c>
      <c r="C20" s="45" t="s">
        <v>15</v>
      </c>
      <c r="D20" s="11" t="s">
        <v>38</v>
      </c>
      <c r="E20" s="11" t="s">
        <v>30</v>
      </c>
      <c r="F20" s="45" t="s">
        <v>8</v>
      </c>
      <c r="G20" s="48">
        <v>83</v>
      </c>
      <c r="H20" s="46">
        <v>46155</v>
      </c>
    </row>
    <row r="21" spans="1:8" x14ac:dyDescent="0.25">
      <c r="A21" s="11" t="s">
        <v>44</v>
      </c>
      <c r="B21" s="11" t="s">
        <v>71</v>
      </c>
      <c r="C21" s="45" t="s">
        <v>16</v>
      </c>
      <c r="D21" s="11" t="s">
        <v>37</v>
      </c>
      <c r="E21" s="11" t="s">
        <v>30</v>
      </c>
      <c r="F21" s="45" t="s">
        <v>56</v>
      </c>
      <c r="G21" s="48">
        <v>100</v>
      </c>
      <c r="H21" s="46">
        <v>46155</v>
      </c>
    </row>
    <row r="22" spans="1:8" x14ac:dyDescent="0.25">
      <c r="A22" s="11" t="s">
        <v>44</v>
      </c>
      <c r="B22" s="11" t="s">
        <v>85</v>
      </c>
      <c r="C22" s="45" t="s">
        <v>16</v>
      </c>
      <c r="D22" s="11" t="s">
        <v>35</v>
      </c>
      <c r="E22" s="11" t="s">
        <v>55</v>
      </c>
      <c r="F22" s="45" t="s">
        <v>40</v>
      </c>
      <c r="G22" s="48">
        <v>99</v>
      </c>
      <c r="H22" s="46">
        <v>46155</v>
      </c>
    </row>
    <row r="23" spans="1:8" x14ac:dyDescent="0.25">
      <c r="A23" s="11" t="s">
        <v>44</v>
      </c>
      <c r="B23" s="11" t="s">
        <v>92</v>
      </c>
      <c r="C23" s="45" t="s">
        <v>15</v>
      </c>
      <c r="D23" s="11" t="s">
        <v>38</v>
      </c>
      <c r="E23" s="11" t="s">
        <v>30</v>
      </c>
      <c r="F23" s="45" t="s">
        <v>56</v>
      </c>
      <c r="G23" s="48">
        <v>100</v>
      </c>
      <c r="H23" s="46">
        <v>46156</v>
      </c>
    </row>
    <row r="24" spans="1:8" x14ac:dyDescent="0.25">
      <c r="A24" s="11" t="s">
        <v>44</v>
      </c>
      <c r="B24" s="11" t="s">
        <v>75</v>
      </c>
      <c r="C24" s="45" t="s">
        <v>15</v>
      </c>
      <c r="D24" s="11" t="s">
        <v>38</v>
      </c>
      <c r="E24" s="11" t="s">
        <v>30</v>
      </c>
      <c r="F24" s="45" t="s">
        <v>8</v>
      </c>
      <c r="G24" s="48">
        <v>94</v>
      </c>
      <c r="H24" s="46">
        <v>46156</v>
      </c>
    </row>
    <row r="25" spans="1:8" x14ac:dyDescent="0.25">
      <c r="A25" s="11" t="s">
        <v>44</v>
      </c>
      <c r="B25" s="11" t="s">
        <v>94</v>
      </c>
      <c r="C25" s="45" t="s">
        <v>17</v>
      </c>
      <c r="D25" s="11" t="s">
        <v>38</v>
      </c>
      <c r="E25" s="11" t="s">
        <v>30</v>
      </c>
      <c r="F25" s="45" t="s">
        <v>56</v>
      </c>
      <c r="G25" s="48">
        <v>100</v>
      </c>
      <c r="H25" s="46">
        <v>46156</v>
      </c>
    </row>
    <row r="26" spans="1:8" x14ac:dyDescent="0.25">
      <c r="A26" s="11" t="s">
        <v>44</v>
      </c>
      <c r="B26" s="11" t="s">
        <v>96</v>
      </c>
      <c r="C26" s="45" t="s">
        <v>15</v>
      </c>
      <c r="D26" s="11" t="s">
        <v>38</v>
      </c>
      <c r="E26" s="11" t="s">
        <v>30</v>
      </c>
      <c r="F26" s="45" t="s">
        <v>56</v>
      </c>
      <c r="G26" s="48">
        <v>100</v>
      </c>
      <c r="H26" s="46">
        <v>46157</v>
      </c>
    </row>
    <row r="27" spans="1:8" hidden="1" x14ac:dyDescent="0.25">
      <c r="A27" s="11" t="s">
        <v>44</v>
      </c>
      <c r="B27" s="11" t="s">
        <v>131</v>
      </c>
      <c r="C27" s="45" t="s">
        <v>13</v>
      </c>
      <c r="D27" s="11" t="s">
        <v>36</v>
      </c>
      <c r="E27" s="11" t="s">
        <v>148</v>
      </c>
      <c r="F27" s="45" t="s">
        <v>40</v>
      </c>
      <c r="G27" s="48">
        <v>100</v>
      </c>
      <c r="H27" s="46">
        <v>46146</v>
      </c>
    </row>
    <row r="28" spans="1:8" x14ac:dyDescent="0.25">
      <c r="A28" s="11" t="s">
        <v>44</v>
      </c>
      <c r="B28" s="11" t="s">
        <v>96</v>
      </c>
      <c r="C28" s="45" t="s">
        <v>15</v>
      </c>
      <c r="D28" s="11" t="s">
        <v>38</v>
      </c>
      <c r="E28" s="11" t="s">
        <v>30</v>
      </c>
      <c r="F28" s="45" t="s">
        <v>56</v>
      </c>
      <c r="G28" s="48">
        <v>100</v>
      </c>
      <c r="H28" s="46">
        <v>46157</v>
      </c>
    </row>
    <row r="29" spans="1:8" x14ac:dyDescent="0.25">
      <c r="A29" s="11" t="s">
        <v>44</v>
      </c>
      <c r="B29" s="11" t="s">
        <v>115</v>
      </c>
      <c r="C29" s="45" t="s">
        <v>15</v>
      </c>
      <c r="D29" s="11" t="s">
        <v>38</v>
      </c>
      <c r="E29" s="11" t="s">
        <v>55</v>
      </c>
      <c r="F29" s="45" t="s">
        <v>56</v>
      </c>
      <c r="G29" s="48">
        <v>90</v>
      </c>
      <c r="H29" s="46">
        <v>46161</v>
      </c>
    </row>
    <row r="30" spans="1:8" x14ac:dyDescent="0.25">
      <c r="A30" s="11" t="s">
        <v>44</v>
      </c>
      <c r="B30" s="11" t="s">
        <v>112</v>
      </c>
      <c r="C30" s="45" t="s">
        <v>15</v>
      </c>
      <c r="D30" s="11" t="s">
        <v>38</v>
      </c>
      <c r="E30" s="11" t="s">
        <v>55</v>
      </c>
      <c r="F30" s="45" t="s">
        <v>56</v>
      </c>
      <c r="G30" s="48">
        <v>90</v>
      </c>
      <c r="H30" s="46">
        <v>46161</v>
      </c>
    </row>
    <row r="31" spans="1:8" x14ac:dyDescent="0.25">
      <c r="A31" s="11" t="s">
        <v>44</v>
      </c>
      <c r="B31" s="11" t="s">
        <v>78</v>
      </c>
      <c r="C31" s="45" t="s">
        <v>15</v>
      </c>
      <c r="D31" s="11" t="s">
        <v>38</v>
      </c>
      <c r="E31" s="11" t="s">
        <v>55</v>
      </c>
      <c r="F31" s="45" t="s">
        <v>8</v>
      </c>
      <c r="G31" s="48">
        <v>63</v>
      </c>
      <c r="H31" s="46">
        <v>46161</v>
      </c>
    </row>
  </sheetData>
  <hyperlinks>
    <hyperlink ref="B9" r:id="rId1" display="SO-NEL105-260072K" xr:uid="{3E27D9DA-6295-479D-A4C0-38857B73D24E}"/>
    <hyperlink ref="B10" r:id="rId2" display="SO-NEL130-260085K" xr:uid="{64F61980-0C91-4C10-9262-4C487EFA153F}"/>
    <hyperlink ref="B11" r:id="rId3" display="SO-NEL130-260086K" xr:uid="{10C0FCBE-DE33-400A-8CB6-8F71AD4AE9C2}"/>
    <hyperlink ref="B12" r:id="rId4" display="SO-NEL130-260079K" xr:uid="{38460F75-0A2F-410A-BF05-2755542B0886}"/>
    <hyperlink ref="B16" r:id="rId5" display="SO-NEL105-260072K" xr:uid="{E0A77292-7FE1-4658-A763-14DD6555749F}"/>
    <hyperlink ref="B17" r:id="rId6" display="SO-NEL130-260085K" xr:uid="{3F48376B-DE43-4870-9EC5-98242629AD0A}"/>
    <hyperlink ref="B18" r:id="rId7" display="SO-NEL130-260086K" xr:uid="{3299CE44-B590-4561-8526-D3395A3BA83E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</vt:lpstr>
      <vt:lpstr>IN WHS</vt:lpstr>
      <vt:lpstr>LT OUT WHS</vt:lpstr>
      <vt:lpstr>FILL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Noemy Olvera</dc:creator>
  <cp:lastModifiedBy>Noemy Olvera</cp:lastModifiedBy>
  <dcterms:created xsi:type="dcterms:W3CDTF">2026-04-28T00:44:38Z</dcterms:created>
  <dcterms:modified xsi:type="dcterms:W3CDTF">2026-05-21T23:31:24Z</dcterms:modified>
</cp:coreProperties>
</file>